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supuesto" sheetId="2" state="visible" r:id="rId2"/>
    <sheet name="APU" sheetId="3" state="visible" r:id="rId3"/>
    <sheet name="Metrados" sheetId="4" state="visible" r:id="rId4"/>
    <sheet name="Cronograma" sheetId="5" state="visible" r:id="rId5"/>
    <sheet name="Curva 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S/ &quot;#,##0.00"/>
    <numFmt numFmtId="165" formatCode="0.0%"/>
    <numFmt numFmtId="166" formatCode="yyyy-mm-dd"/>
    <numFmt numFmtId="167" formatCode="dd/mm"/>
    <numFmt numFmtId="168" formatCode="dd/mm/yyyy"/>
  </numFmts>
  <fonts count="12">
    <font>
      <name val="Calibri"/>
      <family val="2"/>
      <color theme="1"/>
      <sz val="11"/>
      <scheme val="minor"/>
    </font>
    <font>
      <b val="1"/>
      <color rgb="000B6F66"/>
      <sz val="14"/>
    </font>
    <font>
      <i val="1"/>
      <color rgb="006F7471"/>
      <sz val="9"/>
    </font>
    <font>
      <b val="1"/>
      <color rgb="000B6F66"/>
    </font>
    <font>
      <b val="1"/>
      <color rgb="00FFFFFF"/>
    </font>
    <font>
      <b val="1"/>
    </font>
    <font>
      <color rgb="006F7471"/>
      <sz val="9"/>
    </font>
    <font>
      <b val="1"/>
      <color rgb="00000000"/>
    </font>
    <font>
      <i val="1"/>
      <sz val="9"/>
    </font>
    <font>
      <b val="1"/>
      <color rgb="00FFFFFF"/>
      <sz val="7"/>
    </font>
    <font>
      <sz val="6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0B6F66"/>
      </patternFill>
    </fill>
    <fill>
      <patternFill patternType="solid">
        <fgColor rgb="00D5EEEA"/>
      </patternFill>
    </fill>
  </fills>
  <borders count="2">
    <border>
      <left/>
      <right/>
      <top/>
      <bottom/>
      <diagonal/>
    </border>
    <border>
      <left style="thin">
        <color rgb="00A9C9C4"/>
      </left>
      <right style="thin">
        <color rgb="00A9C9C4"/>
      </right>
      <top style="thin">
        <color rgb="00A9C9C4"/>
      </top>
      <bottom style="thin">
        <color rgb="00A9C9C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3" fillId="0" borderId="0" pivotButton="0" quotePrefix="0" xfId="0"/>
    <xf numFmtId="164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3" borderId="1" pivotButton="0" quotePrefix="0" xfId="0"/>
    <xf numFmtId="4" fontId="3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6" fillId="0" borderId="1" pivotButton="0" quotePrefix="0" xfId="0"/>
    <xf numFmtId="164" fontId="3" fillId="0" borderId="0" pivotButton="0" quotePrefix="0" xfId="0"/>
    <xf numFmtId="0" fontId="4" fillId="2" borderId="0" pivotButton="0" quotePrefix="0" xfId="0"/>
    <xf numFmtId="167" fontId="10" fillId="0" borderId="0" pivotButton="0" quotePrefix="0" xfId="0"/>
    <xf numFmtId="0" fontId="9" fillId="2" borderId="0" applyAlignment="1" pivotButton="0" quotePrefix="0" xfId="0">
      <alignment horizontal="center" textRotation="90"/>
    </xf>
    <xf numFmtId="0" fontId="11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0B6F66"/>
        </patternFill>
      </fill>
    </dxf>
    <dxf>
      <fill>
        <patternFill patternType="solid">
          <fgColor rgb="007CC4B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Costo directo por especialidad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'Resumen'!C11</f>
            </strRef>
          </tx>
          <spPr>
            <a:ln>
              <a:prstDash val="solid"/>
            </a:ln>
          </spPr>
          <cat>
            <numRef>
              <f>'Resumen'!$B$12:$B$20</f>
            </numRef>
          </cat>
          <val>
            <numRef>
              <f>'Resumen'!$C$12:$C$20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S (% acumulado)</a:t>
            </a:r>
          </a:p>
        </rich>
      </tx>
    </title>
    <plotArea>
      <lineChart>
        <grouping val="standard"/>
        <ser>
          <idx val="0"/>
          <order val="0"/>
          <tx>
            <strRef>
              <f>'Curva 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'Curva S'!$A$5:$A$17</f>
            </numRef>
          </cat>
          <val>
            <numRef>
              <f>'Curva S'!$E$5:$E$17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18" customWidth="1" min="3" max="3"/>
    <col width="10" customWidth="1" min="4" max="4"/>
  </cols>
  <sheetData>
    <row r="1">
      <c r="A1" s="1" t="inlineStr">
        <is>
          <t>RESUMEN DEL PRESUPUESTO</t>
        </is>
      </c>
    </row>
    <row r="2">
      <c r="A2" s="2" t="inlineStr">
        <is>
          <t>Tienda Spare Parts — implementación completa de local comercial · Huancayo, Junín</t>
        </is>
      </c>
    </row>
    <row r="4">
      <c r="A4" s="3" t="inlineStr">
        <is>
          <t>Área del local (m2)</t>
        </is>
      </c>
      <c r="B4" s="4" t="n">
        <v>177.03</v>
      </c>
    </row>
    <row r="5">
      <c r="A5" s="3" t="inlineStr">
        <is>
          <t>Área de ventas (m2)</t>
        </is>
      </c>
      <c r="B5" t="n">
        <v>139.78</v>
      </c>
    </row>
    <row r="6">
      <c r="A6" s="3" t="inlineStr">
        <is>
          <t>Mezanine (m2)</t>
        </is>
      </c>
      <c r="B6" t="n">
        <v>6.22</v>
      </c>
    </row>
    <row r="7">
      <c r="A7" s="3" t="inlineStr">
        <is>
          <t>Inicio de obra (programado)</t>
        </is>
      </c>
      <c r="B7" t="inlineStr">
        <is>
          <t>02/12/2024</t>
        </is>
      </c>
    </row>
    <row r="8">
      <c r="A8" s="3" t="inlineStr">
        <is>
          <t>Fin de obra (programado)</t>
        </is>
      </c>
      <c r="B8" t="inlineStr">
        <is>
          <t>01/03/2025</t>
        </is>
      </c>
    </row>
    <row r="9">
      <c r="A9" s="3" t="inlineStr">
        <is>
          <t>Plazo (días laborables)</t>
        </is>
      </c>
      <c r="B9" t="n">
        <v>74</v>
      </c>
    </row>
    <row r="11">
      <c r="A11" s="5" t="inlineStr">
        <is>
          <t>Item</t>
        </is>
      </c>
      <c r="B11" s="5" t="inlineStr">
        <is>
          <t>Especialidad</t>
        </is>
      </c>
      <c r="C11" s="5" t="inlineStr">
        <is>
          <t>Monto S/</t>
        </is>
      </c>
      <c r="D11" s="5" t="inlineStr">
        <is>
          <t>% del CD</t>
        </is>
      </c>
    </row>
    <row r="12">
      <c r="A12" t="inlineStr">
        <is>
          <t>01</t>
        </is>
      </c>
      <c r="B12" t="inlineStr">
        <is>
          <t>OBRAS PROVISIONALES Y TRABAJOS PRELIMINARES</t>
        </is>
      </c>
      <c r="C12" s="4">
        <f>Presupuesto!F5</f>
        <v/>
      </c>
      <c r="D12" s="6">
        <f>C12/C21</f>
        <v/>
      </c>
    </row>
    <row r="13">
      <c r="A13" t="inlineStr">
        <is>
          <t>02</t>
        </is>
      </c>
      <c r="B13" t="inlineStr">
        <is>
          <t>REMODELACIÓN DE MUROS Y OBRAS CIVILES</t>
        </is>
      </c>
      <c r="C13" s="4">
        <f>Presupuesto!F14</f>
        <v/>
      </c>
      <c r="D13" s="6">
        <f>C13/C21</f>
        <v/>
      </c>
    </row>
    <row r="14">
      <c r="A14" t="inlineStr">
        <is>
          <t>03</t>
        </is>
      </c>
      <c r="B14" t="inlineStr">
        <is>
          <t>MEZANINE METÁLICO Y ESCALERA</t>
        </is>
      </c>
      <c r="C14" s="4">
        <f>Presupuesto!F22</f>
        <v/>
      </c>
      <c r="D14" s="6">
        <f>C14/C21</f>
        <v/>
      </c>
    </row>
    <row r="15">
      <c r="A15" t="inlineStr">
        <is>
          <t>04</t>
        </is>
      </c>
      <c r="B15" t="inlineStr">
        <is>
          <t>ARQUITECTURA Y ACABADOS</t>
        </is>
      </c>
      <c r="C15" s="4">
        <f>Presupuesto!F29</f>
        <v/>
      </c>
      <c r="D15" s="6">
        <f>C15/C21</f>
        <v/>
      </c>
    </row>
    <row r="16">
      <c r="A16" t="inlineStr">
        <is>
          <t>05</t>
        </is>
      </c>
      <c r="B16" t="inlineStr">
        <is>
          <t>FACHADA Y LETRERO</t>
        </is>
      </c>
      <c r="C16" s="4">
        <f>Presupuesto!F42</f>
        <v/>
      </c>
      <c r="D16" s="6">
        <f>C16/C21</f>
        <v/>
      </c>
    </row>
    <row r="17">
      <c r="A17" t="inlineStr">
        <is>
          <t>06</t>
        </is>
      </c>
      <c r="B17" t="inlineStr">
        <is>
          <t>MOBILIARIO DE EXHIBICIÓN (DISEÑO PROPIO)</t>
        </is>
      </c>
      <c r="C17" s="4">
        <f>Presupuesto!F50</f>
        <v/>
      </c>
      <c r="D17" s="6">
        <f>C17/C21</f>
        <v/>
      </c>
    </row>
    <row r="18">
      <c r="A18" t="inlineStr">
        <is>
          <t>07</t>
        </is>
      </c>
      <c r="B18" t="inlineStr">
        <is>
          <t>INSTALACIONES ELÉCTRICAS (SEGÚN PLANO IE)</t>
        </is>
      </c>
      <c r="C18" s="4">
        <f>Presupuesto!F60</f>
        <v/>
      </c>
      <c r="D18" s="6">
        <f>C18/C21</f>
        <v/>
      </c>
    </row>
    <row r="19">
      <c r="A19" t="inlineStr">
        <is>
          <t>08</t>
        </is>
      </c>
      <c r="B19" t="inlineStr">
        <is>
          <t>INSTALACIONES SANITARIAS</t>
        </is>
      </c>
      <c r="C19" s="4">
        <f>Presupuesto!F72</f>
        <v/>
      </c>
      <c r="D19" s="6">
        <f>C19/C21</f>
        <v/>
      </c>
    </row>
    <row r="20">
      <c r="A20" t="inlineStr">
        <is>
          <t>09</t>
        </is>
      </c>
      <c r="B20" t="inlineStr">
        <is>
          <t>VARIOS</t>
        </is>
      </c>
      <c r="C20" s="4">
        <f>Presupuesto!F76</f>
        <v/>
      </c>
      <c r="D20" s="6">
        <f>C20/C21</f>
        <v/>
      </c>
    </row>
    <row r="21">
      <c r="B21" s="7" t="inlineStr">
        <is>
          <t>COSTO DIRECTO</t>
        </is>
      </c>
      <c r="C21" s="8">
        <f>SUM(C12:C20)</f>
        <v/>
      </c>
    </row>
    <row r="22">
      <c r="B22" s="9" t="inlineStr">
        <is>
          <t>Gastos generales (10%)</t>
        </is>
      </c>
      <c r="C22" s="8">
        <f>ROUND(C21*0.10,2)</f>
        <v/>
      </c>
    </row>
    <row r="23">
      <c r="B23" s="9" t="inlineStr">
        <is>
          <t>Utilidad (8%)</t>
        </is>
      </c>
      <c r="C23" s="8">
        <f>ROUND(C21*0.08,2)</f>
        <v/>
      </c>
    </row>
    <row r="24">
      <c r="B24" s="7" t="inlineStr">
        <is>
          <t>SUBTOTAL</t>
        </is>
      </c>
      <c r="C24" s="8">
        <f>C21+C22+C23</f>
        <v/>
      </c>
    </row>
    <row r="25">
      <c r="B25" s="9" t="inlineStr">
        <is>
          <t>IGV (18%)</t>
        </is>
      </c>
      <c r="C25" s="8">
        <f>ROUND(C24*0.18,2)</f>
        <v/>
      </c>
    </row>
    <row r="26">
      <c r="B26" s="7" t="inlineStr">
        <is>
          <t>PRESUPUESTO TOTAL</t>
        </is>
      </c>
      <c r="C26" s="8">
        <f>C24+C25</f>
        <v/>
      </c>
    </row>
    <row r="27">
      <c r="B27" s="9" t="inlineStr">
        <is>
          <t>Costo directo por m2 de local</t>
        </is>
      </c>
      <c r="C27" s="8">
        <f>C21/B4</f>
        <v/>
      </c>
    </row>
    <row r="28">
      <c r="B28" s="9" t="inlineStr">
        <is>
          <t>Costo total por m2 de local</t>
        </is>
      </c>
      <c r="C28" s="8">
        <f>C26/B4</f>
        <v/>
      </c>
    </row>
    <row r="31">
      <c r="A31" s="10" t="inlineStr">
        <is>
          <t>Nota: metrados tomados de los planos de obra y precios unitarios de mercado 2024-2025, sin IGV, en especificaciones económicas de cadena (los mismos materiales de los renders en su línea comercial). Plazo programado de lunes a sábado, con los feriados nacionales.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64" customWidth="1" min="2" max="2"/>
    <col width="7" customWidth="1" min="3" max="3"/>
    <col width="11" customWidth="1" min="4" max="4"/>
    <col width="11" customWidth="1" min="5" max="5"/>
    <col width="14" customWidth="1" min="6" max="6"/>
    <col width="30" customWidth="1" min="7" max="7"/>
  </cols>
  <sheetData>
    <row r="1">
      <c r="A1" s="1" t="inlineStr">
        <is>
          <t>PRESUPUESTO DE OBRA — IMPLEMENTACIÓN DE LA TIENDA SPARE PARTS (HUANCAYO)</t>
        </is>
      </c>
    </row>
    <row r="2">
      <c r="A2" s="2" t="inlineStr">
        <is>
          <t>Estructura tipo S10 · Metrados de los planos de obra · Especificaciones económicas de cadena · Precios de mercado 2024-2025, sin IGV · 2M MICON S.A.C. · Jashira Illescas Rodriguez</t>
        </is>
      </c>
    </row>
    <row r="4">
      <c r="A4" s="5" t="inlineStr">
        <is>
          <t>Item</t>
        </is>
      </c>
      <c r="B4" s="5" t="inlineStr">
        <is>
          <t>Descripción</t>
        </is>
      </c>
      <c r="C4" s="5" t="inlineStr">
        <is>
          <t>Und.</t>
        </is>
      </c>
      <c r="D4" s="5" t="inlineStr">
        <is>
          <t>Metrado</t>
        </is>
      </c>
      <c r="E4" s="5" t="inlineStr">
        <is>
          <t>Precio S/</t>
        </is>
      </c>
      <c r="F4" s="5" t="inlineStr">
        <is>
          <t>Parcial S/</t>
        </is>
      </c>
      <c r="G4" s="5" t="inlineStr">
        <is>
          <t>Fuente del metrado</t>
        </is>
      </c>
    </row>
    <row r="5">
      <c r="A5" s="11" t="inlineStr">
        <is>
          <t>01</t>
        </is>
      </c>
      <c r="B5" s="11" t="inlineStr">
        <is>
          <t>OBRAS PROVISIONALES Y TRABAJOS PRELIMINARES</t>
        </is>
      </c>
      <c r="C5" s="11" t="n"/>
      <c r="D5" s="11" t="n"/>
      <c r="E5" s="11" t="n"/>
      <c r="F5" s="12">
        <f>SUMIFS(F6:F13,D6:D13,"&lt;&gt;")</f>
        <v/>
      </c>
      <c r="G5" s="11" t="n"/>
    </row>
    <row r="6">
      <c r="A6" s="13" t="inlineStr">
        <is>
          <t>01.01</t>
        </is>
      </c>
      <c r="B6" s="13" t="inlineStr">
        <is>
          <t>Movilización y desmovilización de equipos y herramientas</t>
        </is>
      </c>
      <c r="C6" s="13" t="inlineStr">
        <is>
          <t>glb</t>
        </is>
      </c>
      <c r="D6" s="14" t="n">
        <v>1</v>
      </c>
      <c r="E6" s="14" t="n">
        <v>1500</v>
      </c>
      <c r="F6" s="14">
        <f>ROUND(D6*E6,2)</f>
        <v/>
      </c>
      <c r="G6" s="15" t="inlineStr">
        <is>
          <t>Global</t>
        </is>
      </c>
    </row>
    <row r="7">
      <c r="A7" s="13" t="inlineStr">
        <is>
          <t>01.02</t>
        </is>
      </c>
      <c r="B7" s="13" t="inlineStr">
        <is>
          <t>Flete de mobiliario y materiales Lima - Huancayo (un viaje consolidado)</t>
        </is>
      </c>
      <c r="C7" s="13" t="inlineStr">
        <is>
          <t>glb</t>
        </is>
      </c>
      <c r="D7" s="14" t="n">
        <v>1</v>
      </c>
      <c r="E7" s="14" t="n">
        <v>2400</v>
      </c>
      <c r="F7" s="14">
        <f>ROUND(D7*E7,2)</f>
        <v/>
      </c>
      <c r="G7" s="15" t="inlineStr">
        <is>
          <t>1 viaje de camión</t>
        </is>
      </c>
    </row>
    <row r="8">
      <c r="A8" s="13" t="inlineStr">
        <is>
          <t>01.03</t>
        </is>
      </c>
      <c r="B8" s="13" t="inlineStr">
        <is>
          <t>Protección de fachada y cerco provisional con paneles h=2.40 m</t>
        </is>
      </c>
      <c r="C8" s="13" t="inlineStr">
        <is>
          <t>m</t>
        </is>
      </c>
      <c r="D8" s="14" t="n">
        <v>9.07</v>
      </c>
      <c r="E8" s="14" t="n">
        <v>45</v>
      </c>
      <c r="F8" s="14">
        <f>ROUND(D8*E8,2)</f>
        <v/>
      </c>
      <c r="G8" s="15" t="inlineStr">
        <is>
          <t>Fachada (modelo)</t>
        </is>
      </c>
    </row>
    <row r="9">
      <c r="A9" s="13" t="inlineStr">
        <is>
          <t>01.04</t>
        </is>
      </c>
      <c r="B9" s="13" t="inlineStr">
        <is>
          <t>Almacén y caseta provisional dentro del local</t>
        </is>
      </c>
      <c r="C9" s="13" t="inlineStr">
        <is>
          <t>glb</t>
        </is>
      </c>
      <c r="D9" s="14" t="n">
        <v>1</v>
      </c>
      <c r="E9" s="14" t="n">
        <v>700</v>
      </c>
      <c r="F9" s="14">
        <f>ROUND(D9*E9,2)</f>
        <v/>
      </c>
      <c r="G9" s="15" t="inlineStr">
        <is>
          <t>Global</t>
        </is>
      </c>
    </row>
    <row r="10">
      <c r="A10" s="13" t="inlineStr">
        <is>
          <t>01.05</t>
        </is>
      </c>
      <c r="B10" s="13" t="inlineStr">
        <is>
          <t>Trazo, nivelación y replanteo</t>
        </is>
      </c>
      <c r="C10" s="13" t="inlineStr">
        <is>
          <t>m2</t>
        </is>
      </c>
      <c r="D10" s="14" t="n">
        <v>177.03</v>
      </c>
      <c r="E10" s="14" t="n">
        <v>2.5</v>
      </c>
      <c r="F10" s="14">
        <f>ROUND(D10*E10,2)</f>
        <v/>
      </c>
      <c r="G10" s="15" t="inlineStr">
        <is>
          <t>Área del local (modelo)</t>
        </is>
      </c>
    </row>
    <row r="11">
      <c r="A11" s="13" t="inlineStr">
        <is>
          <t>01.06</t>
        </is>
      </c>
      <c r="B11" s="13" t="inlineStr">
        <is>
          <t>Seguridad y salud en obra (EPP, señalización, extintores)</t>
        </is>
      </c>
      <c r="C11" s="13" t="inlineStr">
        <is>
          <t>glb</t>
        </is>
      </c>
      <c r="D11" s="14" t="n">
        <v>1</v>
      </c>
      <c r="E11" s="14" t="n">
        <v>1800</v>
      </c>
      <c r="F11" s="14">
        <f>ROUND(D11*E11,2)</f>
        <v/>
      </c>
      <c r="G11" s="15" t="inlineStr">
        <is>
          <t>Global</t>
        </is>
      </c>
    </row>
    <row r="12">
      <c r="A12" s="13" t="inlineStr">
        <is>
          <t>01.07</t>
        </is>
      </c>
      <c r="B12" s="13" t="inlineStr">
        <is>
          <t>Desmontaje de instalaciones y elementos existentes</t>
        </is>
      </c>
      <c r="C12" s="13" t="inlineStr">
        <is>
          <t>glb</t>
        </is>
      </c>
      <c r="D12" s="14" t="n">
        <v>1</v>
      </c>
      <c r="E12" s="14" t="n">
        <v>1200</v>
      </c>
      <c r="F12" s="14">
        <f>ROUND(D12*E12,2)</f>
        <v/>
      </c>
      <c r="G12" s="15" t="inlineStr">
        <is>
          <t>Levantamiento</t>
        </is>
      </c>
    </row>
    <row r="13">
      <c r="A13" s="13" t="inlineStr">
        <is>
          <t>01.08</t>
        </is>
      </c>
      <c r="B13" s="13" t="inlineStr">
        <is>
          <t>Eliminación de desmonte con volquete (D = 10 km)</t>
        </is>
      </c>
      <c r="C13" s="13" t="inlineStr">
        <is>
          <t>m3</t>
        </is>
      </c>
      <c r="D13" s="14" t="n">
        <v>12</v>
      </c>
      <c r="E13" s="14" t="n">
        <v>55</v>
      </c>
      <c r="F13" s="14">
        <f>ROUND(D13*E13,2)</f>
        <v/>
      </c>
      <c r="G13" s="15" t="inlineStr">
        <is>
          <t>Demoliciones + picados</t>
        </is>
      </c>
    </row>
    <row r="14">
      <c r="A14" s="11" t="inlineStr">
        <is>
          <t>02</t>
        </is>
      </c>
      <c r="B14" s="11" t="inlineStr">
        <is>
          <t>REMODELACIÓN DE MUROS Y OBRAS CIVILES</t>
        </is>
      </c>
      <c r="C14" s="11" t="n"/>
      <c r="D14" s="11" t="n"/>
      <c r="E14" s="11" t="n"/>
      <c r="F14" s="12">
        <f>SUMIFS(F15:F21,D15:D21,"&lt;&gt;")</f>
        <v/>
      </c>
      <c r="G14" s="11" t="n"/>
    </row>
    <row r="15">
      <c r="A15" s="13" t="inlineStr">
        <is>
          <t>02.01</t>
        </is>
      </c>
      <c r="B15" s="13" t="inlineStr">
        <is>
          <t>Demolición de tabiques existentes</t>
        </is>
      </c>
      <c r="C15" s="13" t="inlineStr">
        <is>
          <t>m2</t>
        </is>
      </c>
      <c r="D15" s="14" t="n">
        <v>16</v>
      </c>
      <c r="E15" s="14" t="n">
        <v>32</v>
      </c>
      <c r="F15" s="14">
        <f>ROUND(D15*E15,2)</f>
        <v/>
      </c>
      <c r="G15" s="15" t="inlineStr">
        <is>
          <t>Levantamiento</t>
        </is>
      </c>
    </row>
    <row r="16">
      <c r="A16" s="13" t="inlineStr">
        <is>
          <t>02.02</t>
        </is>
      </c>
      <c r="B16" s="13" t="inlineStr">
        <is>
          <t>Picado de muros y piso para canalizaciones</t>
        </is>
      </c>
      <c r="C16" s="13" t="inlineStr">
        <is>
          <t>m</t>
        </is>
      </c>
      <c r="D16" s="14" t="n">
        <v>120</v>
      </c>
      <c r="E16" s="14" t="n">
        <v>11</v>
      </c>
      <c r="F16" s="14">
        <f>ROUND(D16*E16,2)</f>
        <v/>
      </c>
      <c r="G16" s="15" t="inlineStr">
        <is>
          <t>Recorridos de IIEE e IISS</t>
        </is>
      </c>
    </row>
    <row r="17">
      <c r="A17" s="13" t="inlineStr">
        <is>
          <t>02.03</t>
        </is>
      </c>
      <c r="B17" s="13" t="inlineStr">
        <is>
          <t>Muro de ladrillo KK 18 huecos en SS.HH., soga, mezcla 1:4</t>
        </is>
      </c>
      <c r="C17" s="13" t="inlineStr">
        <is>
          <t>m2</t>
        </is>
      </c>
      <c r="D17" s="14" t="n">
        <v>4.32</v>
      </c>
      <c r="E17" s="14">
        <f>APU!$F$18</f>
        <v/>
      </c>
      <c r="F17" s="14">
        <f>ROUND(D17*E17,2)</f>
        <v/>
      </c>
      <c r="G17" s="15" t="inlineStr">
        <is>
          <t>Muros de SS.HH. (modelo)</t>
        </is>
      </c>
    </row>
    <row r="18">
      <c r="A18" s="13" t="inlineStr">
        <is>
          <t>02.04</t>
        </is>
      </c>
      <c r="B18" s="13" t="inlineStr">
        <is>
          <t>Tarrajeo frotachado en muros, mezcla 1:5</t>
        </is>
      </c>
      <c r="C18" s="13" t="inlineStr">
        <is>
          <t>m2</t>
        </is>
      </c>
      <c r="D18" s="14" t="n">
        <v>317.39</v>
      </c>
      <c r="E18" s="14">
        <f>APU!$F$36</f>
        <v/>
      </c>
      <c r="F18" s="14">
        <f>ROUND(D18*E18,2)</f>
        <v/>
      </c>
      <c r="G18" s="15" t="inlineStr">
        <is>
          <t>Caras interiores (modelo)</t>
        </is>
      </c>
    </row>
    <row r="19">
      <c r="A19" s="13" t="inlineStr">
        <is>
          <t>02.05</t>
        </is>
      </c>
      <c r="B19" s="13" t="inlineStr">
        <is>
          <t>Tarrajeo de columnas existentes</t>
        </is>
      </c>
      <c r="C19" s="13" t="inlineStr">
        <is>
          <t>m2</t>
        </is>
      </c>
      <c r="D19" s="14" t="n">
        <v>83.63</v>
      </c>
      <c r="E19" s="14" t="n">
        <v>38</v>
      </c>
      <c r="F19" s="14">
        <f>ROUND(D19*E19,2)</f>
        <v/>
      </c>
      <c r="G19" s="15" t="inlineStr">
        <is>
          <t>20 columnas (modelo)</t>
        </is>
      </c>
    </row>
    <row r="20">
      <c r="A20" s="13" t="inlineStr">
        <is>
          <t>02.06</t>
        </is>
      </c>
      <c r="B20" s="13" t="inlineStr">
        <is>
          <t>Nivelación del piso existente con mortero autonivelante (resanes y juntas)</t>
        </is>
      </c>
      <c r="C20" s="13" t="inlineStr">
        <is>
          <t>m2</t>
        </is>
      </c>
      <c r="D20" s="14" t="n">
        <v>139.78</v>
      </c>
      <c r="E20" s="14" t="n">
        <v>14</v>
      </c>
      <c r="F20" s="14">
        <f>ROUND(D20*E20,2)</f>
        <v/>
      </c>
      <c r="G20" s="15" t="inlineStr">
        <is>
          <t>Área de ventas (modelo)</t>
        </is>
      </c>
    </row>
    <row r="21">
      <c r="A21" s="13" t="inlineStr">
        <is>
          <t>02.07</t>
        </is>
      </c>
      <c r="B21" s="13" t="inlineStr">
        <is>
          <t>Sardinel y resanes en el frente de fachada</t>
        </is>
      </c>
      <c r="C21" s="13" t="inlineStr">
        <is>
          <t>m</t>
        </is>
      </c>
      <c r="D21" s="14" t="n">
        <v>9.07</v>
      </c>
      <c r="E21" s="14" t="n">
        <v>55</v>
      </c>
      <c r="F21" s="14">
        <f>ROUND(D21*E21,2)</f>
        <v/>
      </c>
      <c r="G21" s="15" t="inlineStr">
        <is>
          <t>Fachada (modelo)</t>
        </is>
      </c>
    </row>
    <row r="22">
      <c r="A22" s="11" t="inlineStr">
        <is>
          <t>03</t>
        </is>
      </c>
      <c r="B22" s="11" t="inlineStr">
        <is>
          <t>MEZANINE METÁLICO Y ESCALERA</t>
        </is>
      </c>
      <c r="C22" s="11" t="n"/>
      <c r="D22" s="11" t="n"/>
      <c r="E22" s="11" t="n"/>
      <c r="F22" s="12">
        <f>SUMIFS(F23:F28,D23:D28,"&lt;&gt;")</f>
        <v/>
      </c>
      <c r="G22" s="11" t="n"/>
    </row>
    <row r="23">
      <c r="A23" s="13" t="inlineStr">
        <is>
          <t>03.01</t>
        </is>
      </c>
      <c r="B23" s="13" t="inlineStr">
        <is>
          <t>Columnas de tubo LAC 4"x4"x3 mm con plancha base y anclaje químico</t>
        </is>
      </c>
      <c r="C23" s="13" t="inlineStr">
        <is>
          <t>und</t>
        </is>
      </c>
      <c r="D23" s="14" t="n">
        <v>3</v>
      </c>
      <c r="E23" s="14" t="n">
        <v>700</v>
      </c>
      <c r="F23" s="14">
        <f>ROUND(D23*E23,2)</f>
        <v/>
      </c>
      <c r="G23" s="15" t="inlineStr">
        <is>
          <t>Mezanine (modelo)</t>
        </is>
      </c>
    </row>
    <row r="24">
      <c r="A24" s="13" t="inlineStr">
        <is>
          <t>03.02</t>
        </is>
      </c>
      <c r="B24" s="13" t="inlineStr">
        <is>
          <t>Vigas y viguetas de acero con pintura anticorrosiva</t>
        </is>
      </c>
      <c r="C24" s="13" t="inlineStr">
        <is>
          <t>kg</t>
        </is>
      </c>
      <c r="D24" s="14" t="n">
        <v>220</v>
      </c>
      <c r="E24" s="14" t="n">
        <v>12.5</v>
      </c>
      <c r="F24" s="14">
        <f>ROUND(D24*E24,2)</f>
        <v/>
      </c>
      <c r="G24" s="15" t="inlineStr">
        <is>
          <t>20 m de perfiles (modelo)</t>
        </is>
      </c>
    </row>
    <row r="25">
      <c r="A25" s="13" t="inlineStr">
        <is>
          <t>03.03</t>
        </is>
      </c>
      <c r="B25" s="13" t="inlineStr">
        <is>
          <t>Losa colaborante: placa de acero + concreto f'c=210 kg/cm2, e = 10 cm</t>
        </is>
      </c>
      <c r="C25" s="13" t="inlineStr">
        <is>
          <t>m2</t>
        </is>
      </c>
      <c r="D25" s="14" t="n">
        <v>6.22</v>
      </c>
      <c r="E25" s="14" t="n">
        <v>175</v>
      </c>
      <c r="F25" s="14">
        <f>ROUND(D25*E25,2)</f>
        <v/>
      </c>
      <c r="G25" s="15" t="inlineStr">
        <is>
          <t>Mezanine (modelo)</t>
        </is>
      </c>
    </row>
    <row r="26">
      <c r="A26" s="13" t="inlineStr">
        <is>
          <t>03.04</t>
        </is>
      </c>
      <c r="B26" s="13" t="inlineStr">
        <is>
          <t>Escalera metálica de 12 pasos con peldaños de plancha estriada</t>
        </is>
      </c>
      <c r="C26" s="13" t="inlineStr">
        <is>
          <t>und</t>
        </is>
      </c>
      <c r="D26" s="14" t="n">
        <v>1</v>
      </c>
      <c r="E26" s="14" t="n">
        <v>3000</v>
      </c>
      <c r="F26" s="14">
        <f>ROUND(D26*E26,2)</f>
        <v/>
      </c>
      <c r="G26" s="15" t="inlineStr">
        <is>
          <t>Escalera (plano)</t>
        </is>
      </c>
    </row>
    <row r="27">
      <c r="A27" s="13" t="inlineStr">
        <is>
          <t>03.05</t>
        </is>
      </c>
      <c r="B27" s="13" t="inlineStr">
        <is>
          <t>Baranda de vidrio templado 8 mm con pasamanos de acero</t>
        </is>
      </c>
      <c r="C27" s="13" t="inlineStr">
        <is>
          <t>m</t>
        </is>
      </c>
      <c r="D27" s="14" t="n">
        <v>2.5</v>
      </c>
      <c r="E27" s="14" t="n">
        <v>360</v>
      </c>
      <c r="F27" s="14">
        <f>ROUND(D27*E27,2)</f>
        <v/>
      </c>
      <c r="G27" s="15" t="inlineStr">
        <is>
          <t>Borde del mezanine (modelo)</t>
        </is>
      </c>
    </row>
    <row r="28">
      <c r="A28" s="13" t="inlineStr">
        <is>
          <t>03.06</t>
        </is>
      </c>
      <c r="B28" s="13" t="inlineStr">
        <is>
          <t>Franja de ACM 3 mm turquesa en el borde del mezanine</t>
        </is>
      </c>
      <c r="C28" s="13" t="inlineStr">
        <is>
          <t>m2</t>
        </is>
      </c>
      <c r="D28" s="14" t="n">
        <v>1.6</v>
      </c>
      <c r="E28" s="14" t="n">
        <v>185</v>
      </c>
      <c r="F28" s="14">
        <f>ROUND(D28*E28,2)</f>
        <v/>
      </c>
      <c r="G28" s="15" t="inlineStr">
        <is>
          <t>Borde del mezanine (modelo)</t>
        </is>
      </c>
    </row>
    <row r="29">
      <c r="A29" s="11" t="inlineStr">
        <is>
          <t>04</t>
        </is>
      </c>
      <c r="B29" s="11" t="inlineStr">
        <is>
          <t>ARQUITECTURA Y ACABADOS</t>
        </is>
      </c>
      <c r="C29" s="11" t="n"/>
      <c r="D29" s="11" t="n"/>
      <c r="E29" s="11" t="n"/>
      <c r="F29" s="12">
        <f>SUMIFS(F30:F41,D30:D41,"&lt;&gt;")</f>
        <v/>
      </c>
      <c r="G29" s="11" t="n"/>
    </row>
    <row r="30">
      <c r="A30" s="13" t="inlineStr">
        <is>
          <t>04.01</t>
        </is>
      </c>
      <c r="B30" s="13" t="inlineStr">
        <is>
          <t>Piso SPC 4 mm tipo madera, tránsito comercial, con contrazócalo</t>
        </is>
      </c>
      <c r="C30" s="13" t="inlineStr">
        <is>
          <t>m2</t>
        </is>
      </c>
      <c r="D30" s="14" t="n">
        <v>146</v>
      </c>
      <c r="E30" s="14">
        <f>APU!$F$52</f>
        <v/>
      </c>
      <c r="F30" s="14">
        <f>ROUND(D30*E30,2)</f>
        <v/>
      </c>
      <c r="G30" s="15" t="inlineStr">
        <is>
          <t>Ventas + mezanine (modelo)</t>
        </is>
      </c>
    </row>
    <row r="31">
      <c r="A31" s="13" t="inlineStr">
        <is>
          <t>04.02</t>
        </is>
      </c>
      <c r="B31" s="13" t="inlineStr">
        <is>
          <t>Cerámico antideslizante 45x45 cm en pisos de SS.HH.</t>
        </is>
      </c>
      <c r="C31" s="13" t="inlineStr">
        <is>
          <t>m2</t>
        </is>
      </c>
      <c r="D31" s="14" t="n">
        <v>5.74</v>
      </c>
      <c r="E31" s="14" t="n">
        <v>68</v>
      </c>
      <c r="F31" s="14">
        <f>ROUND(D31*E31,2)</f>
        <v/>
      </c>
      <c r="G31" s="15" t="inlineStr">
        <is>
          <t>SS.HH. (modelo)</t>
        </is>
      </c>
    </row>
    <row r="32">
      <c r="A32" s="13" t="inlineStr">
        <is>
          <t>04.03</t>
        </is>
      </c>
      <c r="B32" s="13" t="inlineStr">
        <is>
          <t>Enchape de cerámico 30x60 cm en paredes de SS.HH. h = 2.10 m</t>
        </is>
      </c>
      <c r="C32" s="13" t="inlineStr">
        <is>
          <t>m2</t>
        </is>
      </c>
      <c r="D32" s="14" t="n">
        <v>16.17</v>
      </c>
      <c r="E32" s="14" t="n">
        <v>66</v>
      </c>
      <c r="F32" s="14">
        <f>ROUND(D32*E32,2)</f>
        <v/>
      </c>
      <c r="G32" s="15" t="inlineStr">
        <is>
          <t>SS.HH. (modelo)</t>
        </is>
      </c>
    </row>
    <row r="33">
      <c r="A33" s="13" t="inlineStr">
        <is>
          <t>04.04</t>
        </is>
      </c>
      <c r="B33" s="13" t="inlineStr">
        <is>
          <t>Pintura látex negro mate en techo y muros altos</t>
        </is>
      </c>
      <c r="C33" s="13" t="inlineStr">
        <is>
          <t>m2</t>
        </is>
      </c>
      <c r="D33" s="14" t="n">
        <v>250.22</v>
      </c>
      <c r="E33" s="14" t="n">
        <v>12.5</v>
      </c>
      <c r="F33" s="14">
        <f>ROUND(D33*E33,2)</f>
        <v/>
      </c>
      <c r="G33" s="15" t="inlineStr">
        <is>
          <t>Techo + franja alta (modelo)</t>
        </is>
      </c>
    </row>
    <row r="34">
      <c r="A34" s="13" t="inlineStr">
        <is>
          <t>04.05</t>
        </is>
      </c>
      <c r="B34" s="13" t="inlineStr">
        <is>
          <t>Pintura látex lavable en muros (2 manos)</t>
        </is>
      </c>
      <c r="C34" s="13" t="inlineStr">
        <is>
          <t>m2</t>
        </is>
      </c>
      <c r="D34" s="14" t="n">
        <v>144.05</v>
      </c>
      <c r="E34" s="14" t="n">
        <v>11</v>
      </c>
      <c r="F34" s="14">
        <f>ROUND(D34*E34,2)</f>
        <v/>
      </c>
      <c r="G34" s="15" t="inlineStr">
        <is>
          <t>Muros bajos y almacén (modelo)</t>
        </is>
      </c>
    </row>
    <row r="35">
      <c r="A35" s="13" t="inlineStr">
        <is>
          <t>04.06</t>
        </is>
      </c>
      <c r="B35" s="13" t="inlineStr">
        <is>
          <t>Pintura látex negro mate en columnas</t>
        </is>
      </c>
      <c r="C35" s="13" t="inlineStr">
        <is>
          <t>m2</t>
        </is>
      </c>
      <c r="D35" s="14" t="n">
        <v>83.63</v>
      </c>
      <c r="E35" s="14" t="n">
        <v>12.5</v>
      </c>
      <c r="F35" s="14">
        <f>ROUND(D35*E35,2)</f>
        <v/>
      </c>
      <c r="G35" s="15" t="inlineStr">
        <is>
          <t>20 columnas (modelo)</t>
        </is>
      </c>
    </row>
    <row r="36">
      <c r="A36" s="13" t="inlineStr">
        <is>
          <t>04.07</t>
        </is>
      </c>
      <c r="B36" s="13" t="inlineStr">
        <is>
          <t>Panel perforado (pegboard) de MDF melamínico con accesorios</t>
        </is>
      </c>
      <c r="C36" s="13" t="inlineStr">
        <is>
          <t>m2</t>
        </is>
      </c>
      <c r="D36" s="14" t="n">
        <v>35.01</v>
      </c>
      <c r="E36" s="14" t="n">
        <v>125</v>
      </c>
      <c r="F36" s="14">
        <f>ROUND(D36*E36,2)</f>
        <v/>
      </c>
      <c r="G36" s="15" t="inlineStr">
        <is>
          <t>Tras las repisas (modelo)</t>
        </is>
      </c>
    </row>
    <row r="37">
      <c r="A37" s="13" t="inlineStr">
        <is>
          <t>04.08</t>
        </is>
      </c>
      <c r="B37" s="13" t="inlineStr">
        <is>
          <t>Muro verde artificial y listones de madera (letrero de marca)</t>
        </is>
      </c>
      <c r="C37" s="13" t="inlineStr">
        <is>
          <t>m2</t>
        </is>
      </c>
      <c r="D37" s="14" t="n">
        <v>9.470000000000001</v>
      </c>
      <c r="E37" s="14" t="n">
        <v>230</v>
      </c>
      <c r="F37" s="14">
        <f>ROUND(D37*E37,2)</f>
        <v/>
      </c>
      <c r="G37" s="15" t="inlineStr">
        <is>
          <t>Muro C (modelo)</t>
        </is>
      </c>
    </row>
    <row r="38">
      <c r="A38" s="13" t="inlineStr">
        <is>
          <t>04.09</t>
        </is>
      </c>
      <c r="B38" s="13" t="inlineStr">
        <is>
          <t>Revestimiento de listones de MDF enchapado en el muro de la caja</t>
        </is>
      </c>
      <c r="C38" s="13" t="inlineStr">
        <is>
          <t>m2</t>
        </is>
      </c>
      <c r="D38" s="14" t="n">
        <v>5.1</v>
      </c>
      <c r="E38" s="14" t="n">
        <v>160</v>
      </c>
      <c r="F38" s="14">
        <f>ROUND(D38*E38,2)</f>
        <v/>
      </c>
      <c r="G38" s="15" t="inlineStr">
        <is>
          <t>Muro del eje 2 (modelo)</t>
        </is>
      </c>
    </row>
    <row r="39">
      <c r="A39" s="13" t="inlineStr">
        <is>
          <t>04.10</t>
        </is>
      </c>
      <c r="B39" s="13" t="inlineStr">
        <is>
          <t>Puertas contraplacadas de SS.HH. y almacén, con marco y cerrajería</t>
        </is>
      </c>
      <c r="C39" s="13" t="inlineStr">
        <is>
          <t>und</t>
        </is>
      </c>
      <c r="D39" s="14" t="n">
        <v>3</v>
      </c>
      <c r="E39" s="14" t="n">
        <v>480</v>
      </c>
      <c r="F39" s="14">
        <f>ROUND(D39*E39,2)</f>
        <v/>
      </c>
      <c r="G39" s="15" t="inlineStr">
        <is>
          <t>Plano de distribución</t>
        </is>
      </c>
    </row>
    <row r="40">
      <c r="A40" s="13" t="inlineStr">
        <is>
          <t>04.11</t>
        </is>
      </c>
      <c r="B40" s="13" t="inlineStr">
        <is>
          <t>Aparatos sanitarios de línea económica: inodoro, lavatorio y grifería</t>
        </is>
      </c>
      <c r="C40" s="13" t="inlineStr">
        <is>
          <t>jgo</t>
        </is>
      </c>
      <c r="D40" s="14" t="n">
        <v>2</v>
      </c>
      <c r="E40" s="14" t="n">
        <v>560</v>
      </c>
      <c r="F40" s="14">
        <f>ROUND(D40*E40,2)</f>
        <v/>
      </c>
      <c r="G40" s="15" t="inlineStr">
        <is>
          <t>2 SS.HH. (plano)</t>
        </is>
      </c>
    </row>
    <row r="41">
      <c r="A41" s="13" t="inlineStr">
        <is>
          <t>04.12</t>
        </is>
      </c>
      <c r="B41" s="13" t="inlineStr">
        <is>
          <t>Accesorios de SS.HH. (espejo, dispensadores y barras)</t>
        </is>
      </c>
      <c r="C41" s="13" t="inlineStr">
        <is>
          <t>jgo</t>
        </is>
      </c>
      <c r="D41" s="14" t="n">
        <v>2</v>
      </c>
      <c r="E41" s="14" t="n">
        <v>190</v>
      </c>
      <c r="F41" s="14">
        <f>ROUND(D41*E41,2)</f>
        <v/>
      </c>
      <c r="G41" s="15" t="inlineStr">
        <is>
          <t>2 SS.HH. (plano)</t>
        </is>
      </c>
    </row>
    <row r="42">
      <c r="A42" s="11" t="inlineStr">
        <is>
          <t>05</t>
        </is>
      </c>
      <c r="B42" s="11" t="inlineStr">
        <is>
          <t>FACHADA Y LETRERO</t>
        </is>
      </c>
      <c r="C42" s="11" t="n"/>
      <c r="D42" s="11" t="n"/>
      <c r="E42" s="11" t="n"/>
      <c r="F42" s="12">
        <f>SUMIFS(F43:F49,D43:D49,"&lt;&gt;")</f>
        <v/>
      </c>
      <c r="G42" s="11" t="n"/>
    </row>
    <row r="43">
      <c r="A43" s="13" t="inlineStr">
        <is>
          <t>05.01</t>
        </is>
      </c>
      <c r="B43" s="13" t="inlineStr">
        <is>
          <t>Estructura metálica de fachada (tubos 2"x2" y 2"x4")</t>
        </is>
      </c>
      <c r="C43" s="13" t="inlineStr">
        <is>
          <t>kg</t>
        </is>
      </c>
      <c r="D43" s="14" t="n">
        <v>320</v>
      </c>
      <c r="E43" s="14" t="n">
        <v>11.5</v>
      </c>
      <c r="F43" s="14">
        <f>ROUND(D43*E43,2)</f>
        <v/>
      </c>
      <c r="G43" s="15" t="inlineStr">
        <is>
          <t>Bastidor del letrero (modelo)</t>
        </is>
      </c>
    </row>
    <row r="44">
      <c r="A44" s="13" t="inlineStr">
        <is>
          <t>05.02</t>
        </is>
      </c>
      <c r="B44" s="13" t="inlineStr">
        <is>
          <t>Revestimiento de ACM 3 mm negro</t>
        </is>
      </c>
      <c r="C44" s="13" t="inlineStr">
        <is>
          <t>m2</t>
        </is>
      </c>
      <c r="D44" s="14" t="n">
        <v>12.29</v>
      </c>
      <c r="E44" s="14" t="n">
        <v>165</v>
      </c>
      <c r="F44" s="14">
        <f>ROUND(D44*E44,2)</f>
        <v/>
      </c>
      <c r="G44" s="15" t="inlineStr">
        <is>
          <t>Franja superior (modelo)</t>
        </is>
      </c>
    </row>
    <row r="45">
      <c r="A45" s="13" t="inlineStr">
        <is>
          <t>05.03</t>
        </is>
      </c>
      <c r="B45" s="13" t="inlineStr">
        <is>
          <t>Revestimiento de ACM 3 mm turquesa y listones verticales</t>
        </is>
      </c>
      <c r="C45" s="13" t="inlineStr">
        <is>
          <t>m2</t>
        </is>
      </c>
      <c r="D45" s="14" t="n">
        <v>8.33</v>
      </c>
      <c r="E45" s="14" t="n">
        <v>185</v>
      </c>
      <c r="F45" s="14">
        <f>ROUND(D45*E45,2)</f>
        <v/>
      </c>
      <c r="G45" s="15" t="inlineStr">
        <is>
          <t>Fachada (modelo)</t>
        </is>
      </c>
    </row>
    <row r="46">
      <c r="A46" s="13" t="inlineStr">
        <is>
          <t>05.04</t>
        </is>
      </c>
      <c r="B46" s="13" t="inlineStr">
        <is>
          <t>Mampara de vidrio templado 8 mm con perfiles de aluminio negro</t>
        </is>
      </c>
      <c r="C46" s="13" t="inlineStr">
        <is>
          <t>m2</t>
        </is>
      </c>
      <c r="D46" s="14" t="n">
        <v>18.49</v>
      </c>
      <c r="E46" s="14" t="n">
        <v>265</v>
      </c>
      <c r="F46" s="14">
        <f>ROUND(D46*E46,2)</f>
        <v/>
      </c>
      <c r="G46" s="15" t="inlineStr">
        <is>
          <t>Mampara (modelo)</t>
        </is>
      </c>
    </row>
    <row r="47">
      <c r="A47" s="13" t="inlineStr">
        <is>
          <t>05.05</t>
        </is>
      </c>
      <c r="B47" s="13" t="inlineStr">
        <is>
          <t>Puerta doble de vidrio templado 8 mm con tiradores y freno</t>
        </is>
      </c>
      <c r="C47" s="13" t="inlineStr">
        <is>
          <t>und</t>
        </is>
      </c>
      <c r="D47" s="14" t="n">
        <v>1</v>
      </c>
      <c r="E47" s="14" t="n">
        <v>2400</v>
      </c>
      <c r="F47" s="14">
        <f>ROUND(D47*E47,2)</f>
        <v/>
      </c>
      <c r="G47" s="15" t="inlineStr">
        <is>
          <t>Ingreso (plano)</t>
        </is>
      </c>
    </row>
    <row r="48">
      <c r="A48" s="13" t="inlineStr">
        <is>
          <t>05.06</t>
        </is>
      </c>
      <c r="B48" s="13" t="inlineStr">
        <is>
          <t>Letrero luminoso estándar de la cadena: engranaje y letras de acrílico con LED</t>
        </is>
      </c>
      <c r="C48" s="13" t="inlineStr">
        <is>
          <t>glb</t>
        </is>
      </c>
      <c r="D48" s="14" t="n">
        <v>1</v>
      </c>
      <c r="E48" s="14" t="n">
        <v>6200</v>
      </c>
      <c r="F48" s="14">
        <f>ROUND(D48*E48,2)</f>
        <v/>
      </c>
      <c r="G48" s="15" t="inlineStr">
        <is>
          <t>Fachada (renders)</t>
        </is>
      </c>
    </row>
    <row r="49">
      <c r="A49" s="13" t="inlineStr">
        <is>
          <t>05.07</t>
        </is>
      </c>
      <c r="B49" s="13" t="inlineStr">
        <is>
          <t>Conexión eléctrica del letrero con temporizador</t>
        </is>
      </c>
      <c r="C49" s="13" t="inlineStr">
        <is>
          <t>glb</t>
        </is>
      </c>
      <c r="D49" s="14" t="n">
        <v>1</v>
      </c>
      <c r="E49" s="14" t="n">
        <v>450</v>
      </c>
      <c r="F49" s="14">
        <f>ROUND(D49*E49,2)</f>
        <v/>
      </c>
      <c r="G49" s="15" t="inlineStr">
        <is>
          <t>Global</t>
        </is>
      </c>
    </row>
    <row r="50">
      <c r="A50" s="11" t="inlineStr">
        <is>
          <t>06</t>
        </is>
      </c>
      <c r="B50" s="11" t="inlineStr">
        <is>
          <t>MOBILIARIO DE EXHIBICIÓN (DISEÑO PROPIO)</t>
        </is>
      </c>
      <c r="C50" s="11" t="n"/>
      <c r="D50" s="11" t="n"/>
      <c r="E50" s="11" t="n"/>
      <c r="F50" s="12">
        <f>SUMIFS(F51:F59,D51:D59,"&lt;&gt;")</f>
        <v/>
      </c>
      <c r="G50" s="11" t="n"/>
    </row>
    <row r="51">
      <c r="A51" s="13" t="inlineStr">
        <is>
          <t>06.01</t>
        </is>
      </c>
      <c r="B51" s="13" t="inlineStr">
        <is>
          <t>Isla central de exhibición: módulos de melamina 18 mm y tablero turquesa</t>
        </is>
      </c>
      <c r="C51" s="13" t="inlineStr">
        <is>
          <t>und</t>
        </is>
      </c>
      <c r="D51" s="14" t="n">
        <v>1</v>
      </c>
      <c r="E51" s="14" t="n">
        <v>4200</v>
      </c>
      <c r="F51" s="14">
        <f>ROUND(D51*E51,2)</f>
        <v/>
      </c>
      <c r="G51" s="15" t="inlineStr">
        <is>
          <t>2.24 x 4.28 m (plano)</t>
        </is>
      </c>
    </row>
    <row r="52">
      <c r="A52" s="13" t="inlineStr">
        <is>
          <t>06.02</t>
        </is>
      </c>
      <c r="B52" s="13" t="inlineStr">
        <is>
          <t>Islas de exhibición menores (módulos de melamina)</t>
        </is>
      </c>
      <c r="C52" s="13" t="inlineStr">
        <is>
          <t>und</t>
        </is>
      </c>
      <c r="D52" s="14" t="n">
        <v>2</v>
      </c>
      <c r="E52" s="14" t="n">
        <v>2000</v>
      </c>
      <c r="F52" s="14">
        <f>ROUND(D52*E52,2)</f>
        <v/>
      </c>
      <c r="G52" s="15" t="inlineStr">
        <is>
          <t>1.00 x 2.25 m (plano)</t>
        </is>
      </c>
    </row>
    <row r="53">
      <c r="A53" s="13" t="inlineStr">
        <is>
          <t>06.03</t>
        </is>
      </c>
      <c r="B53" s="13" t="inlineStr">
        <is>
          <t>Estantería de pared: góndola metálica con repisas de melamina y zócalo iluminado</t>
        </is>
      </c>
      <c r="C53" s="13" t="inlineStr">
        <is>
          <t>m</t>
        </is>
      </c>
      <c r="D53" s="14" t="n">
        <v>18.75</v>
      </c>
      <c r="E53" s="14" t="n">
        <v>330</v>
      </c>
      <c r="F53" s="14">
        <f>ROUND(D53*E53,2)</f>
        <v/>
      </c>
      <c r="G53" s="15" t="inlineStr">
        <is>
          <t>Repisas de pared (modelo)</t>
        </is>
      </c>
    </row>
    <row r="54">
      <c r="A54" s="13" t="inlineStr">
        <is>
          <t>06.04</t>
        </is>
      </c>
      <c r="B54" s="13" t="inlineStr">
        <is>
          <t>Mostrador de caja en L: melamina negra y tablero de madera</t>
        </is>
      </c>
      <c r="C54" s="13" t="inlineStr">
        <is>
          <t>und</t>
        </is>
      </c>
      <c r="D54" s="14" t="n">
        <v>1</v>
      </c>
      <c r="E54" s="14" t="n">
        <v>2400</v>
      </c>
      <c r="F54" s="14">
        <f>ROUND(D54*E54,2)</f>
        <v/>
      </c>
      <c r="G54" s="15" t="inlineStr">
        <is>
          <t>Área de caja (plano)</t>
        </is>
      </c>
    </row>
    <row r="55">
      <c r="A55" s="13" t="inlineStr">
        <is>
          <t>06.05</t>
        </is>
      </c>
      <c r="B55" s="13" t="inlineStr">
        <is>
          <t>Tarima de vitrina y exhibidores de llantas</t>
        </is>
      </c>
      <c r="C55" s="13" t="inlineStr">
        <is>
          <t>glb</t>
        </is>
      </c>
      <c r="D55" s="14" t="n">
        <v>1</v>
      </c>
      <c r="E55" s="14" t="n">
        <v>1400</v>
      </c>
      <c r="F55" s="14">
        <f>ROUND(D55*E55,2)</f>
        <v/>
      </c>
      <c r="G55" s="15" t="inlineStr">
        <is>
          <t>Área de exhibición (plano)</t>
        </is>
      </c>
    </row>
    <row r="56">
      <c r="A56" s="13" t="inlineStr">
        <is>
          <t>06.06</t>
        </is>
      </c>
      <c r="B56" s="13" t="inlineStr">
        <is>
          <t>Sillones, mesa y alfombra del área de espera</t>
        </is>
      </c>
      <c r="C56" s="13" t="inlineStr">
        <is>
          <t>jgo</t>
        </is>
      </c>
      <c r="D56" s="14" t="n">
        <v>1</v>
      </c>
      <c r="E56" s="14" t="n">
        <v>1300</v>
      </c>
      <c r="F56" s="14">
        <f>ROUND(D56*E56,2)</f>
        <v/>
      </c>
      <c r="G56" s="15" t="inlineStr">
        <is>
          <t>Área de espera (plano)</t>
        </is>
      </c>
    </row>
    <row r="57">
      <c r="A57" s="13" t="inlineStr">
        <is>
          <t>06.07</t>
        </is>
      </c>
      <c r="B57" s="13" t="inlineStr">
        <is>
          <t>Paneles gráficos suspendidos (bastidor y lona impresa)</t>
        </is>
      </c>
      <c r="C57" s="13" t="inlineStr">
        <is>
          <t>und</t>
        </is>
      </c>
      <c r="D57" s="14" t="n">
        <v>2</v>
      </c>
      <c r="E57" s="14" t="n">
        <v>850</v>
      </c>
      <c r="F57" s="14">
        <f>ROUND(D57*E57,2)</f>
        <v/>
      </c>
      <c r="G57" s="15" t="inlineStr">
        <is>
          <t>Renders</t>
        </is>
      </c>
    </row>
    <row r="58">
      <c r="A58" s="13" t="inlineStr">
        <is>
          <t>06.08</t>
        </is>
      </c>
      <c r="B58" s="13" t="inlineStr">
        <is>
          <t>Señalética, vinilos y gráfica de marca</t>
        </is>
      </c>
      <c r="C58" s="13" t="inlineStr">
        <is>
          <t>glb</t>
        </is>
      </c>
      <c r="D58" s="14" t="n">
        <v>1</v>
      </c>
      <c r="E58" s="14" t="n">
        <v>1100</v>
      </c>
      <c r="F58" s="14">
        <f>ROUND(D58*E58,2)</f>
        <v/>
      </c>
      <c r="G58" s="15" t="inlineStr">
        <is>
          <t>Global</t>
        </is>
      </c>
    </row>
    <row r="59">
      <c r="A59" s="13" t="inlineStr">
        <is>
          <t>06.09</t>
        </is>
      </c>
      <c r="B59" s="13" t="inlineStr">
        <is>
          <t>Mobiliario de la oficina del mezanine</t>
        </is>
      </c>
      <c r="C59" s="13" t="inlineStr">
        <is>
          <t>jgo</t>
        </is>
      </c>
      <c r="D59" s="14" t="n">
        <v>1</v>
      </c>
      <c r="E59" s="14" t="n">
        <v>750</v>
      </c>
      <c r="F59" s="14">
        <f>ROUND(D59*E59,2)</f>
        <v/>
      </c>
      <c r="G59" s="15" t="inlineStr">
        <is>
          <t>Mezanine</t>
        </is>
      </c>
    </row>
    <row r="60">
      <c r="A60" s="11" t="inlineStr">
        <is>
          <t>07</t>
        </is>
      </c>
      <c r="B60" s="11" t="inlineStr">
        <is>
          <t>INSTALACIONES ELÉCTRICAS (SEGÚN PLANO IE)</t>
        </is>
      </c>
      <c r="C60" s="11" t="n"/>
      <c r="D60" s="11" t="n"/>
      <c r="E60" s="11" t="n"/>
      <c r="F60" s="12">
        <f>SUMIFS(F61:F71,D61:D71,"&lt;&gt;")</f>
        <v/>
      </c>
      <c r="G60" s="11" t="n"/>
    </row>
    <row r="61">
      <c r="A61" s="13" t="inlineStr">
        <is>
          <t>07.01</t>
        </is>
      </c>
      <c r="B61" s="13" t="inlineStr">
        <is>
          <t>Salida para alumbrado en techo</t>
        </is>
      </c>
      <c r="C61" s="13" t="inlineStr">
        <is>
          <t>pto</t>
        </is>
      </c>
      <c r="D61" s="14" t="n">
        <v>26</v>
      </c>
      <c r="E61" s="14" t="n">
        <v>85</v>
      </c>
      <c r="F61" s="14">
        <f>ROUND(D61*E61,2)</f>
        <v/>
      </c>
      <c r="G61" s="15" t="inlineStr">
        <is>
          <t>Plano de IIEE</t>
        </is>
      </c>
    </row>
    <row r="62">
      <c r="A62" s="13" t="inlineStr">
        <is>
          <t>07.02</t>
        </is>
      </c>
      <c r="B62" s="13" t="inlineStr">
        <is>
          <t>Salida para braquete</t>
        </is>
      </c>
      <c r="C62" s="13" t="inlineStr">
        <is>
          <t>pto</t>
        </is>
      </c>
      <c r="D62" s="14" t="n">
        <v>5</v>
      </c>
      <c r="E62" s="14" t="n">
        <v>80</v>
      </c>
      <c r="F62" s="14">
        <f>ROUND(D62*E62,2)</f>
        <v/>
      </c>
      <c r="G62" s="15" t="inlineStr">
        <is>
          <t>Plano de IIEE</t>
        </is>
      </c>
    </row>
    <row r="63">
      <c r="A63" s="13" t="inlineStr">
        <is>
          <t>07.03</t>
        </is>
      </c>
      <c r="B63" s="13" t="inlineStr">
        <is>
          <t>Salida para interruptor simple, doble y triple</t>
        </is>
      </c>
      <c r="C63" s="13" t="inlineStr">
        <is>
          <t>pto</t>
        </is>
      </c>
      <c r="D63" s="14" t="n">
        <v>7</v>
      </c>
      <c r="E63" s="14" t="n">
        <v>72</v>
      </c>
      <c r="F63" s="14">
        <f>ROUND(D63*E63,2)</f>
        <v/>
      </c>
      <c r="G63" s="15" t="inlineStr">
        <is>
          <t>Plano de IIEE</t>
        </is>
      </c>
    </row>
    <row r="64">
      <c r="A64" s="13" t="inlineStr">
        <is>
          <t>07.04</t>
        </is>
      </c>
      <c r="B64" s="13" t="inlineStr">
        <is>
          <t>Salida para tomacorriente doble con línea a tierra</t>
        </is>
      </c>
      <c r="C64" s="13" t="inlineStr">
        <is>
          <t>pto</t>
        </is>
      </c>
      <c r="D64" s="14" t="n">
        <v>15</v>
      </c>
      <c r="E64" s="14" t="n">
        <v>95</v>
      </c>
      <c r="F64" s="14">
        <f>ROUND(D64*E64,2)</f>
        <v/>
      </c>
      <c r="G64" s="15" t="inlineStr">
        <is>
          <t>Plano de IIEE</t>
        </is>
      </c>
    </row>
    <row r="65">
      <c r="A65" s="13" t="inlineStr">
        <is>
          <t>07.05</t>
        </is>
      </c>
      <c r="B65" s="13" t="inlineStr">
        <is>
          <t>Tablero de distribución con termomagnéticos y diferencial</t>
        </is>
      </c>
      <c r="C65" s="13" t="inlineStr">
        <is>
          <t>und</t>
        </is>
      </c>
      <c r="D65" s="14" t="n">
        <v>1</v>
      </c>
      <c r="E65" s="14" t="n">
        <v>1450</v>
      </c>
      <c r="F65" s="14">
        <f>ROUND(D65*E65,2)</f>
        <v/>
      </c>
      <c r="G65" s="15" t="inlineStr">
        <is>
          <t>Plano de IIEE</t>
        </is>
      </c>
    </row>
    <row r="66">
      <c r="A66" s="13" t="inlineStr">
        <is>
          <t>07.06</t>
        </is>
      </c>
      <c r="B66" s="13" t="inlineStr">
        <is>
          <t>Alimentador desde el medidor (cable NH-80 y tubería)</t>
        </is>
      </c>
      <c r="C66" s="13" t="inlineStr">
        <is>
          <t>m</t>
        </is>
      </c>
      <c r="D66" s="14" t="n">
        <v>14</v>
      </c>
      <c r="E66" s="14" t="n">
        <v>42</v>
      </c>
      <c r="F66" s="14">
        <f>ROUND(D66*E66,2)</f>
        <v/>
      </c>
      <c r="G66" s="15" t="inlineStr">
        <is>
          <t>Plano de IIEE</t>
        </is>
      </c>
    </row>
    <row r="67">
      <c r="A67" s="13" t="inlineStr">
        <is>
          <t>07.07</t>
        </is>
      </c>
      <c r="B67" s="13" t="inlineStr">
        <is>
          <t>Pozo a tierra con tratamiento químico</t>
        </is>
      </c>
      <c r="C67" s="13" t="inlineStr">
        <is>
          <t>und</t>
        </is>
      </c>
      <c r="D67" s="14" t="n">
        <v>1</v>
      </c>
      <c r="E67" s="14" t="n">
        <v>1100</v>
      </c>
      <c r="F67" s="14">
        <f>ROUND(D67*E67,2)</f>
        <v/>
      </c>
      <c r="G67" s="15" t="inlineStr">
        <is>
          <t>Plano de IIEE</t>
        </is>
      </c>
    </row>
    <row r="68">
      <c r="A68" s="13" t="inlineStr">
        <is>
          <t>07.08</t>
        </is>
      </c>
      <c r="B68" s="13" t="inlineStr">
        <is>
          <t>Luminaria LED lineal cuadrada suspendida, línea comercial</t>
        </is>
      </c>
      <c r="C68" s="13" t="inlineStr">
        <is>
          <t>und</t>
        </is>
      </c>
      <c r="D68" s="14" t="n">
        <v>16</v>
      </c>
      <c r="E68" s="14" t="n">
        <v>250</v>
      </c>
      <c r="F68" s="14">
        <f>ROUND(D68*E68,2)</f>
        <v/>
      </c>
      <c r="G68" s="15" t="inlineStr">
        <is>
          <t>Circuitos c, d y f (plano)</t>
        </is>
      </c>
    </row>
    <row r="69">
      <c r="A69" s="13" t="inlineStr">
        <is>
          <t>07.09</t>
        </is>
      </c>
      <c r="B69" s="13" t="inlineStr">
        <is>
          <t>Luminarias LED de techo (downlights, SS.HH., almacén y exteriores)</t>
        </is>
      </c>
      <c r="C69" s="13" t="inlineStr">
        <is>
          <t>und</t>
        </is>
      </c>
      <c r="D69" s="14" t="n">
        <v>10</v>
      </c>
      <c r="E69" s="14" t="n">
        <v>65</v>
      </c>
      <c r="F69" s="14">
        <f>ROUND(D69*E69,2)</f>
        <v/>
      </c>
      <c r="G69" s="15" t="inlineStr">
        <is>
          <t>Plano de IIEE</t>
        </is>
      </c>
    </row>
    <row r="70">
      <c r="A70" s="13" t="inlineStr">
        <is>
          <t>07.10</t>
        </is>
      </c>
      <c r="B70" s="13" t="inlineStr">
        <is>
          <t>Braquetes LED</t>
        </is>
      </c>
      <c r="C70" s="13" t="inlineStr">
        <is>
          <t>und</t>
        </is>
      </c>
      <c r="D70" s="14" t="n">
        <v>5</v>
      </c>
      <c r="E70" s="14" t="n">
        <v>85</v>
      </c>
      <c r="F70" s="14">
        <f>ROUND(D70*E70,2)</f>
        <v/>
      </c>
      <c r="G70" s="15" t="inlineStr">
        <is>
          <t>Plano de IIEE</t>
        </is>
      </c>
    </row>
    <row r="71">
      <c r="A71" s="13" t="inlineStr">
        <is>
          <t>07.11</t>
        </is>
      </c>
      <c r="B71" s="13" t="inlineStr">
        <is>
          <t>Cinta LED en repisas y zócalos</t>
        </is>
      </c>
      <c r="C71" s="13" t="inlineStr">
        <is>
          <t>m</t>
        </is>
      </c>
      <c r="D71" s="14" t="n">
        <v>37.5</v>
      </c>
      <c r="E71" s="14" t="n">
        <v>20</v>
      </c>
      <c r="F71" s="14">
        <f>ROUND(D71*E71,2)</f>
        <v/>
      </c>
      <c r="G71" s="15" t="inlineStr">
        <is>
          <t>Repisas de pared (modelo)</t>
        </is>
      </c>
    </row>
    <row r="72">
      <c r="A72" s="11" t="inlineStr">
        <is>
          <t>08</t>
        </is>
      </c>
      <c r="B72" s="11" t="inlineStr">
        <is>
          <t>INSTALACIONES SANITARIAS</t>
        </is>
      </c>
      <c r="C72" s="11" t="n"/>
      <c r="D72" s="11" t="n"/>
      <c r="E72" s="11" t="n"/>
      <c r="F72" s="12">
        <f>SUMIFS(F73:F75,D73:D75,"&lt;&gt;")</f>
        <v/>
      </c>
      <c r="G72" s="11" t="n"/>
    </row>
    <row r="73">
      <c r="A73" s="13" t="inlineStr">
        <is>
          <t>08.01</t>
        </is>
      </c>
      <c r="B73" s="13" t="inlineStr">
        <is>
          <t>Salidas de agua fría</t>
        </is>
      </c>
      <c r="C73" s="13" t="inlineStr">
        <is>
          <t>pto</t>
        </is>
      </c>
      <c r="D73" s="14" t="n">
        <v>4</v>
      </c>
      <c r="E73" s="14" t="n">
        <v>115</v>
      </c>
      <c r="F73" s="14">
        <f>ROUND(D73*E73,2)</f>
        <v/>
      </c>
      <c r="G73" s="15" t="inlineStr">
        <is>
          <t>2 SS.HH.</t>
        </is>
      </c>
    </row>
    <row r="74">
      <c r="A74" s="13" t="inlineStr">
        <is>
          <t>08.02</t>
        </is>
      </c>
      <c r="B74" s="13" t="inlineStr">
        <is>
          <t>Salidas de desagüe y ventilación</t>
        </is>
      </c>
      <c r="C74" s="13" t="inlineStr">
        <is>
          <t>pto</t>
        </is>
      </c>
      <c r="D74" s="14" t="n">
        <v>6</v>
      </c>
      <c r="E74" s="14" t="n">
        <v>105</v>
      </c>
      <c r="F74" s="14">
        <f>ROUND(D74*E74,2)</f>
        <v/>
      </c>
      <c r="G74" s="15" t="inlineStr">
        <is>
          <t>2 SS.HH.</t>
        </is>
      </c>
    </row>
    <row r="75">
      <c r="A75" s="13" t="inlineStr">
        <is>
          <t>08.03</t>
        </is>
      </c>
      <c r="B75" s="13" t="inlineStr">
        <is>
          <t>Redes de agua y desagüe hasta la conexión existente</t>
        </is>
      </c>
      <c r="C75" s="13" t="inlineStr">
        <is>
          <t>m</t>
        </is>
      </c>
      <c r="D75" s="14" t="n">
        <v>16</v>
      </c>
      <c r="E75" s="14" t="n">
        <v>36</v>
      </c>
      <c r="F75" s="14">
        <f>ROUND(D75*E75,2)</f>
        <v/>
      </c>
      <c r="G75" s="15" t="inlineStr">
        <is>
          <t>Recorrido al fondo del lote</t>
        </is>
      </c>
    </row>
    <row r="76">
      <c r="A76" s="11" t="inlineStr">
        <is>
          <t>09</t>
        </is>
      </c>
      <c r="B76" s="11" t="inlineStr">
        <is>
          <t>VARIOS</t>
        </is>
      </c>
      <c r="C76" s="11" t="n"/>
      <c r="D76" s="11" t="n"/>
      <c r="E76" s="11" t="n"/>
      <c r="F76" s="12">
        <f>SUMIFS(F77:F78,D77:D78,"&lt;&gt;")</f>
        <v/>
      </c>
      <c r="G76" s="11" t="n"/>
    </row>
    <row r="77">
      <c r="A77" s="13" t="inlineStr">
        <is>
          <t>09.01</t>
        </is>
      </c>
      <c r="B77" s="13" t="inlineStr">
        <is>
          <t>Limpieza permanente y final de obra</t>
        </is>
      </c>
      <c r="C77" s="13" t="inlineStr">
        <is>
          <t>m2</t>
        </is>
      </c>
      <c r="D77" s="14" t="n">
        <v>177.03</v>
      </c>
      <c r="E77" s="14" t="n">
        <v>4</v>
      </c>
      <c r="F77" s="14">
        <f>ROUND(D77*E77,2)</f>
        <v/>
      </c>
      <c r="G77" s="15" t="inlineStr">
        <is>
          <t>Área del local (modelo)</t>
        </is>
      </c>
    </row>
    <row r="78">
      <c r="A78" s="13" t="inlineStr">
        <is>
          <t>09.02</t>
        </is>
      </c>
      <c r="B78" s="13" t="inlineStr">
        <is>
          <t>Pruebas eléctricas y protocolo de resistencia del pozo a tierra</t>
        </is>
      </c>
      <c r="C78" s="13" t="inlineStr">
        <is>
          <t>glb</t>
        </is>
      </c>
      <c r="D78" s="14" t="n">
        <v>1</v>
      </c>
      <c r="E78" s="14" t="n">
        <v>420</v>
      </c>
      <c r="F78" s="14">
        <f>ROUND(D78*E78,2)</f>
        <v/>
      </c>
      <c r="G78" s="15" t="inlineStr">
        <is>
          <t>Global</t>
        </is>
      </c>
    </row>
    <row r="80">
      <c r="E80" s="3" t="inlineStr">
        <is>
          <t>COSTO DIRECTO</t>
        </is>
      </c>
      <c r="F80" s="16">
        <f>SUMIFS(F5:F78,D5:D78,"&lt;&gt;")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52" customWidth="1" min="1" max="1"/>
    <col width="7" customWidth="1" min="2" max="2"/>
    <col width="10" customWidth="1" min="3" max="3"/>
    <col width="10" customWidth="1" min="4" max="4"/>
    <col width="11" customWidth="1" min="5" max="5"/>
    <col width="13" customWidth="1" min="6" max="6"/>
  </cols>
  <sheetData>
    <row r="1">
      <c r="A1" s="1" t="inlineStr">
        <is>
          <t>ANÁLISIS DE PRECIOS UNITARIOS (muestra)</t>
        </is>
      </c>
    </row>
    <row r="2">
      <c r="A2" s="2" t="inlineStr">
        <is>
          <t>Costo hora-hombre con leyes sociales, régimen de construcción civil 2024-2025</t>
        </is>
      </c>
    </row>
    <row r="4">
      <c r="A4" s="7" t="inlineStr">
        <is>
          <t>APU1 · Muro de ladrillo KK 18 huecos en SS.HH., soga, mezcla 1:4</t>
        </is>
      </c>
    </row>
    <row r="5">
      <c r="A5" t="inlineStr">
        <is>
          <t>Rendimiento: 9 m2/día   ·   Unidad: m2</t>
        </is>
      </c>
    </row>
    <row r="6">
      <c r="A6" s="17" t="inlineStr">
        <is>
          <t>Descripción</t>
        </is>
      </c>
      <c r="B6" s="17" t="inlineStr">
        <is>
          <t>Und.</t>
        </is>
      </c>
      <c r="C6" s="17" t="inlineStr">
        <is>
          <t>Cuadrilla</t>
        </is>
      </c>
      <c r="D6" s="17" t="inlineStr">
        <is>
          <t>Cantidad</t>
        </is>
      </c>
      <c r="E6" s="17" t="inlineStr">
        <is>
          <t>Precio S/</t>
        </is>
      </c>
      <c r="F6" s="17" t="inlineStr">
        <is>
          <t>Parcial S/</t>
        </is>
      </c>
    </row>
    <row r="7">
      <c r="A7" s="3" t="inlineStr">
        <is>
          <t>Mano de obra</t>
        </is>
      </c>
    </row>
    <row r="8">
      <c r="A8" t="inlineStr">
        <is>
          <t>Capataz</t>
        </is>
      </c>
      <c r="B8" t="inlineStr">
        <is>
          <t>hh</t>
        </is>
      </c>
      <c r="C8" t="n">
        <v>0.1</v>
      </c>
      <c r="D8">
        <f>ROUND(C8*8/9.0,4)</f>
        <v/>
      </c>
      <c r="E8" t="n">
        <v>31.5</v>
      </c>
      <c r="F8">
        <f>ROUND(D8*E8,2)</f>
        <v/>
      </c>
    </row>
    <row r="9">
      <c r="A9" t="inlineStr">
        <is>
          <t>Operario</t>
        </is>
      </c>
      <c r="B9" t="inlineStr">
        <is>
          <t>hh</t>
        </is>
      </c>
      <c r="C9" t="n">
        <v>1</v>
      </c>
      <c r="D9">
        <f>ROUND(C9*8/9.0,4)</f>
        <v/>
      </c>
      <c r="E9" t="n">
        <v>28.6</v>
      </c>
      <c r="F9">
        <f>ROUND(D9*E9,2)</f>
        <v/>
      </c>
    </row>
    <row r="10">
      <c r="A10" t="inlineStr">
        <is>
          <t>Peón</t>
        </is>
      </c>
      <c r="B10" t="inlineStr">
        <is>
          <t>hh</t>
        </is>
      </c>
      <c r="C10" t="n">
        <v>0.5</v>
      </c>
      <c r="D10">
        <f>ROUND(C10*8/9.0,4)</f>
        <v/>
      </c>
      <c r="E10" t="n">
        <v>20.8</v>
      </c>
      <c r="F10">
        <f>ROUND(D10*E10,2)</f>
        <v/>
      </c>
    </row>
    <row r="11">
      <c r="A11" s="3" t="inlineStr">
        <is>
          <t>Materiales</t>
        </is>
      </c>
    </row>
    <row r="12">
      <c r="A12" t="inlineStr">
        <is>
          <t>Ladrillo KK 18 huecos 9x13x23 cm</t>
        </is>
      </c>
      <c r="B12" t="inlineStr">
        <is>
          <t>und</t>
        </is>
      </c>
      <c r="D12" t="n">
        <v>39</v>
      </c>
      <c r="E12" t="n">
        <v>1.15</v>
      </c>
      <c r="F12">
        <f>ROUND(D12*E12,2)</f>
        <v/>
      </c>
    </row>
    <row r="13">
      <c r="A13" t="inlineStr">
        <is>
          <t>Cemento Portland tipo I (42.5 kg)</t>
        </is>
      </c>
      <c r="B13" t="inlineStr">
        <is>
          <t>bls</t>
        </is>
      </c>
      <c r="D13" t="n">
        <v>0.21</v>
      </c>
      <c r="E13" t="n">
        <v>29.5</v>
      </c>
      <c r="F13">
        <f>ROUND(D13*E13,2)</f>
        <v/>
      </c>
    </row>
    <row r="14">
      <c r="A14" t="inlineStr">
        <is>
          <t>Arena gruesa</t>
        </is>
      </c>
      <c r="B14" t="inlineStr">
        <is>
          <t>m3</t>
        </is>
      </c>
      <c r="D14" t="n">
        <v>0.03</v>
      </c>
      <c r="E14" t="n">
        <v>70</v>
      </c>
      <c r="F14">
        <f>ROUND(D14*E14,2)</f>
        <v/>
      </c>
    </row>
    <row r="15">
      <c r="A15" t="inlineStr">
        <is>
          <t>Agua puesta en obra</t>
        </is>
      </c>
      <c r="B15" t="inlineStr">
        <is>
          <t>m3</t>
        </is>
      </c>
      <c r="D15" t="n">
        <v>0.007</v>
      </c>
      <c r="E15" t="n">
        <v>8</v>
      </c>
      <c r="F15">
        <f>ROUND(D15*E15,2)</f>
        <v/>
      </c>
    </row>
    <row r="16">
      <c r="A16" s="3" t="inlineStr">
        <is>
          <t>Equipos y herramientas</t>
        </is>
      </c>
    </row>
    <row r="17">
      <c r="A17" t="inlineStr">
        <is>
          <t>Herramientas manuales</t>
        </is>
      </c>
      <c r="B17" t="inlineStr">
        <is>
          <t>%MO</t>
        </is>
      </c>
      <c r="D17" t="n">
        <v>0.03</v>
      </c>
      <c r="F17">
        <f>ROUND(D17*SUM(F8:F10),2)</f>
        <v/>
      </c>
    </row>
    <row r="18">
      <c r="E18" s="3" t="inlineStr">
        <is>
          <t>COSTO UNITARIO</t>
        </is>
      </c>
      <c r="F18" s="16">
        <f>SUM(F8:F10)+SUM(F12:F15)+SUM(F17:F17)</f>
        <v/>
      </c>
    </row>
    <row r="21">
      <c r="A21" s="7" t="inlineStr">
        <is>
          <t>APU2 · Tarrajeo frotachado en muros, mezcla 1:5</t>
        </is>
      </c>
    </row>
    <row r="22">
      <c r="A22" t="inlineStr">
        <is>
          <t>Rendimiento: 15 m2/día   ·   Unidad: m2</t>
        </is>
      </c>
    </row>
    <row r="23">
      <c r="A23" s="17" t="inlineStr">
        <is>
          <t>Descripción</t>
        </is>
      </c>
      <c r="B23" s="17" t="inlineStr">
        <is>
          <t>Und.</t>
        </is>
      </c>
      <c r="C23" s="17" t="inlineStr">
        <is>
          <t>Cuadrilla</t>
        </is>
      </c>
      <c r="D23" s="17" t="inlineStr">
        <is>
          <t>Cantidad</t>
        </is>
      </c>
      <c r="E23" s="17" t="inlineStr">
        <is>
          <t>Precio S/</t>
        </is>
      </c>
      <c r="F23" s="17" t="inlineStr">
        <is>
          <t>Parcial S/</t>
        </is>
      </c>
    </row>
    <row r="24">
      <c r="A24" s="3" t="inlineStr">
        <is>
          <t>Mano de obra</t>
        </is>
      </c>
    </row>
    <row r="25">
      <c r="A25" t="inlineStr">
        <is>
          <t>Capataz</t>
        </is>
      </c>
      <c r="B25" t="inlineStr">
        <is>
          <t>hh</t>
        </is>
      </c>
      <c r="C25" t="n">
        <v>0.1</v>
      </c>
      <c r="D25">
        <f>ROUND(C25*8/15.0,4)</f>
        <v/>
      </c>
      <c r="E25" t="n">
        <v>31.5</v>
      </c>
      <c r="F25">
        <f>ROUND(D25*E25,2)</f>
        <v/>
      </c>
    </row>
    <row r="26">
      <c r="A26" t="inlineStr">
        <is>
          <t>Operario</t>
        </is>
      </c>
      <c r="B26" t="inlineStr">
        <is>
          <t>hh</t>
        </is>
      </c>
      <c r="C26" t="n">
        <v>1</v>
      </c>
      <c r="D26">
        <f>ROUND(C26*8/15.0,4)</f>
        <v/>
      </c>
      <c r="E26" t="n">
        <v>28.6</v>
      </c>
      <c r="F26">
        <f>ROUND(D26*E26,2)</f>
        <v/>
      </c>
    </row>
    <row r="27">
      <c r="A27" t="inlineStr">
        <is>
          <t>Peón</t>
        </is>
      </c>
      <c r="B27" t="inlineStr">
        <is>
          <t>hh</t>
        </is>
      </c>
      <c r="C27" t="n">
        <v>0.5</v>
      </c>
      <c r="D27">
        <f>ROUND(C27*8/15.0,4)</f>
        <v/>
      </c>
      <c r="E27" t="n">
        <v>20.8</v>
      </c>
      <c r="F27">
        <f>ROUND(D27*E27,2)</f>
        <v/>
      </c>
    </row>
    <row r="28">
      <c r="A28" s="3" t="inlineStr">
        <is>
          <t>Materiales</t>
        </is>
      </c>
    </row>
    <row r="29">
      <c r="A29" t="inlineStr">
        <is>
          <t>Cemento Portland tipo I (42.5 kg)</t>
        </is>
      </c>
      <c r="B29" t="inlineStr">
        <is>
          <t>bls</t>
        </is>
      </c>
      <c r="D29" t="n">
        <v>0.105</v>
      </c>
      <c r="E29" t="n">
        <v>29.5</v>
      </c>
      <c r="F29">
        <f>ROUND(D29*E29,2)</f>
        <v/>
      </c>
    </row>
    <row r="30">
      <c r="A30" t="inlineStr">
        <is>
          <t>Arena fina</t>
        </is>
      </c>
      <c r="B30" t="inlineStr">
        <is>
          <t>m3</t>
        </is>
      </c>
      <c r="D30" t="n">
        <v>0.018</v>
      </c>
      <c r="E30" t="n">
        <v>75</v>
      </c>
      <c r="F30">
        <f>ROUND(D30*E30,2)</f>
        <v/>
      </c>
    </row>
    <row r="31">
      <c r="A31" t="inlineStr">
        <is>
          <t>Agua puesta en obra</t>
        </is>
      </c>
      <c r="B31" t="inlineStr">
        <is>
          <t>m3</t>
        </is>
      </c>
      <c r="D31" t="n">
        <v>0.005</v>
      </c>
      <c r="E31" t="n">
        <v>8</v>
      </c>
      <c r="F31">
        <f>ROUND(D31*E31,2)</f>
        <v/>
      </c>
    </row>
    <row r="32">
      <c r="A32" t="inlineStr">
        <is>
          <t>Regla de madera</t>
        </is>
      </c>
      <c r="B32" t="inlineStr">
        <is>
          <t>p2</t>
        </is>
      </c>
      <c r="D32" t="n">
        <v>0.02</v>
      </c>
      <c r="E32" t="n">
        <v>6</v>
      </c>
      <c r="F32">
        <f>ROUND(D32*E32,2)</f>
        <v/>
      </c>
    </row>
    <row r="33">
      <c r="A33" s="3" t="inlineStr">
        <is>
          <t>Equipos y herramientas</t>
        </is>
      </c>
    </row>
    <row r="34">
      <c r="A34" t="inlineStr">
        <is>
          <t>Herramientas manuales</t>
        </is>
      </c>
      <c r="B34" t="inlineStr">
        <is>
          <t>%MO</t>
        </is>
      </c>
      <c r="D34" t="n">
        <v>0.03</v>
      </c>
      <c r="F34">
        <f>ROUND(D34*SUM(F25:F27),2)</f>
        <v/>
      </c>
    </row>
    <row r="35">
      <c r="A35" t="inlineStr">
        <is>
          <t>Andamio metálico (muros de 4.70 m)</t>
        </is>
      </c>
      <c r="B35" t="inlineStr">
        <is>
          <t>día</t>
        </is>
      </c>
      <c r="D35" t="n">
        <v>0.03</v>
      </c>
      <c r="E35" t="n">
        <v>8.5</v>
      </c>
      <c r="F35">
        <f>ROUND(D35*E35,2)</f>
        <v/>
      </c>
    </row>
    <row r="36">
      <c r="E36" s="3" t="inlineStr">
        <is>
          <t>COSTO UNITARIO</t>
        </is>
      </c>
      <c r="F36" s="16">
        <f>SUM(F25:F27)+SUM(F29:F32)+SUM(F34:F35)</f>
        <v/>
      </c>
    </row>
    <row r="39">
      <c r="A39" s="7" t="inlineStr">
        <is>
          <t>APU3 · Piso SPC 4 mm tipo madera, tránsito comercial, con manta y contrazócalo</t>
        </is>
      </c>
    </row>
    <row r="40">
      <c r="A40" t="inlineStr">
        <is>
          <t>Rendimiento: 35 m2/día   ·   Unidad: m2</t>
        </is>
      </c>
    </row>
    <row r="41">
      <c r="A41" s="17" t="inlineStr">
        <is>
          <t>Descripción</t>
        </is>
      </c>
      <c r="B41" s="17" t="inlineStr">
        <is>
          <t>Und.</t>
        </is>
      </c>
      <c r="C41" s="17" t="inlineStr">
        <is>
          <t>Cuadrilla</t>
        </is>
      </c>
      <c r="D41" s="17" t="inlineStr">
        <is>
          <t>Cantidad</t>
        </is>
      </c>
      <c r="E41" s="17" t="inlineStr">
        <is>
          <t>Precio S/</t>
        </is>
      </c>
      <c r="F41" s="17" t="inlineStr">
        <is>
          <t>Parcial S/</t>
        </is>
      </c>
    </row>
    <row r="42">
      <c r="A42" s="3" t="inlineStr">
        <is>
          <t>Mano de obra</t>
        </is>
      </c>
    </row>
    <row r="43">
      <c r="A43" t="inlineStr">
        <is>
          <t>Operario</t>
        </is>
      </c>
      <c r="B43" t="inlineStr">
        <is>
          <t>hh</t>
        </is>
      </c>
      <c r="C43" t="n">
        <v>1</v>
      </c>
      <c r="D43">
        <f>ROUND(C43*8/35.0,4)</f>
        <v/>
      </c>
      <c r="E43" t="n">
        <v>28.6</v>
      </c>
      <c r="F43">
        <f>ROUND(D43*E43,2)</f>
        <v/>
      </c>
    </row>
    <row r="44">
      <c r="A44" t="inlineStr">
        <is>
          <t>Oficial</t>
        </is>
      </c>
      <c r="B44" t="inlineStr">
        <is>
          <t>hh</t>
        </is>
      </c>
      <c r="C44" t="n">
        <v>0.5</v>
      </c>
      <c r="D44">
        <f>ROUND(C44*8/35.0,4)</f>
        <v/>
      </c>
      <c r="E44" t="n">
        <v>23.1</v>
      </c>
      <c r="F44">
        <f>ROUND(D44*E44,2)</f>
        <v/>
      </c>
    </row>
    <row r="45">
      <c r="A45" s="3" t="inlineStr">
        <is>
          <t>Materiales</t>
        </is>
      </c>
    </row>
    <row r="46">
      <c r="A46" t="inlineStr">
        <is>
          <t>Piso SPC 4 mm tránsito comercial (incluye 5 % de desperdicio)</t>
        </is>
      </c>
      <c r="B46" t="inlineStr">
        <is>
          <t>m2</t>
        </is>
      </c>
      <c r="D46" t="n">
        <v>1.05</v>
      </c>
      <c r="E46" t="n">
        <v>46</v>
      </c>
      <c r="F46">
        <f>ROUND(D46*E46,2)</f>
        <v/>
      </c>
    </row>
    <row r="47">
      <c r="A47" t="inlineStr">
        <is>
          <t>Manta de espuma 2 mm</t>
        </is>
      </c>
      <c r="B47" t="inlineStr">
        <is>
          <t>m2</t>
        </is>
      </c>
      <c r="D47" t="n">
        <v>1.05</v>
      </c>
      <c r="E47" t="n">
        <v>3.5</v>
      </c>
      <c r="F47">
        <f>ROUND(D47*E47,2)</f>
        <v/>
      </c>
    </row>
    <row r="48">
      <c r="A48" t="inlineStr">
        <is>
          <t>Contrazócalo de PVC h = 8 cm</t>
        </is>
      </c>
      <c r="B48" t="inlineStr">
        <is>
          <t>m</t>
        </is>
      </c>
      <c r="D48" t="n">
        <v>0.45</v>
      </c>
      <c r="E48" t="n">
        <v>7.5</v>
      </c>
      <c r="F48">
        <f>ROUND(D48*E48,2)</f>
        <v/>
      </c>
    </row>
    <row r="49">
      <c r="A49" t="inlineStr">
        <is>
          <t>Silicona y adhesivo</t>
        </is>
      </c>
      <c r="B49" t="inlineStr">
        <is>
          <t>und</t>
        </is>
      </c>
      <c r="D49" t="n">
        <v>0.02</v>
      </c>
      <c r="E49" t="n">
        <v>18</v>
      </c>
      <c r="F49">
        <f>ROUND(D49*E49,2)</f>
        <v/>
      </c>
    </row>
    <row r="50">
      <c r="A50" s="3" t="inlineStr">
        <is>
          <t>Equipos y herramientas</t>
        </is>
      </c>
    </row>
    <row r="51">
      <c r="A51" t="inlineStr">
        <is>
          <t>Herramientas manuales</t>
        </is>
      </c>
      <c r="B51" t="inlineStr">
        <is>
          <t>%MO</t>
        </is>
      </c>
      <c r="D51" t="n">
        <v>0.03</v>
      </c>
      <c r="F51">
        <f>ROUND(D51*SUM(F43:F44),2)</f>
        <v/>
      </c>
    </row>
    <row r="52">
      <c r="E52" s="3" t="inlineStr">
        <is>
          <t>COSTO UNITARIO</t>
        </is>
      </c>
      <c r="F52" s="16">
        <f>SUM(F43:F44)+SUM(F46:F49)+SUM(F51:F51)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</cols>
  <sheetData>
    <row r="1">
      <c r="A1" s="1" t="inlineStr">
        <is>
          <t>METRADOS DEL MODELO</t>
        </is>
      </c>
    </row>
    <row r="2">
      <c r="A2" s="2" t="inlineStr">
        <is>
          <t>Calculados desde la geometría leída de los planos de distribución e IIEE (tienda_fuente.py)</t>
        </is>
      </c>
    </row>
    <row r="4">
      <c r="A4" s="5" t="inlineStr">
        <is>
          <t>Concepto</t>
        </is>
      </c>
      <c r="B4" s="5" t="inlineStr">
        <is>
          <t>Valor</t>
        </is>
      </c>
      <c r="C4" s="5" t="inlineStr">
        <is>
          <t>Und.</t>
        </is>
      </c>
    </row>
    <row r="5">
      <c r="A5" t="inlineStr">
        <is>
          <t>Área del local (sin el pasadizo de la vivienda)</t>
        </is>
      </c>
      <c r="B5" s="4" t="n">
        <v>177.03</v>
      </c>
      <c r="C5" t="inlineStr">
        <is>
          <t>m2</t>
        </is>
      </c>
    </row>
    <row r="6">
      <c r="A6" t="inlineStr">
        <is>
          <t>Área de ventas (piso SPC)</t>
        </is>
      </c>
      <c r="B6" s="4" t="n">
        <v>139.78</v>
      </c>
      <c r="C6" t="inlineStr">
        <is>
          <t>m2</t>
        </is>
      </c>
    </row>
    <row r="7">
      <c r="A7" t="inlineStr">
        <is>
          <t>Mezanine (oficina)</t>
        </is>
      </c>
      <c r="B7" s="4" t="n">
        <v>6.22</v>
      </c>
      <c r="C7" t="inlineStr">
        <is>
          <t>m2</t>
        </is>
      </c>
    </row>
    <row r="8">
      <c r="A8" t="inlineStr">
        <is>
          <t>SS.HH. (2)</t>
        </is>
      </c>
      <c r="B8" s="4" t="n">
        <v>5.74</v>
      </c>
      <c r="C8" t="inlineStr">
        <is>
          <t>m2</t>
        </is>
      </c>
    </row>
    <row r="9">
      <c r="A9" t="inlineStr">
        <is>
          <t>Muros nuevos de SS.HH.</t>
        </is>
      </c>
      <c r="B9" s="4" t="n">
        <v>4.32</v>
      </c>
      <c r="C9" t="inlineStr">
        <is>
          <t>m2</t>
        </is>
      </c>
    </row>
    <row r="10">
      <c r="A10" t="inlineStr">
        <is>
          <t>Tarrajeo de muros</t>
        </is>
      </c>
      <c r="B10" s="4" t="n">
        <v>317.39</v>
      </c>
      <c r="C10" t="inlineStr">
        <is>
          <t>m2</t>
        </is>
      </c>
    </row>
    <row r="11">
      <c r="A11" t="inlineStr">
        <is>
          <t>Tarrajeo de columnas</t>
        </is>
      </c>
      <c r="B11" s="4" t="n">
        <v>83.63</v>
      </c>
      <c r="C11" t="inlineStr">
        <is>
          <t>m2</t>
        </is>
      </c>
    </row>
    <row r="12">
      <c r="A12" t="inlineStr">
        <is>
          <t>Pintura negra (techo y muros altos)</t>
        </is>
      </c>
      <c r="B12" s="4" t="n">
        <v>250.22</v>
      </c>
      <c r="C12" t="inlineStr">
        <is>
          <t>m2</t>
        </is>
      </c>
    </row>
    <row r="13">
      <c r="A13" t="inlineStr">
        <is>
          <t>Pintura látex (muros bajos y almacén)</t>
        </is>
      </c>
      <c r="B13" s="4" t="n">
        <v>144.05</v>
      </c>
      <c r="C13" t="inlineStr">
        <is>
          <t>m2</t>
        </is>
      </c>
    </row>
    <row r="14">
      <c r="A14" t="inlineStr">
        <is>
          <t>Panel perforado</t>
        </is>
      </c>
      <c r="B14" s="4" t="n">
        <v>35.01</v>
      </c>
      <c r="C14" t="inlineStr">
        <is>
          <t>m2</t>
        </is>
      </c>
    </row>
    <row r="15">
      <c r="A15" t="inlineStr">
        <is>
          <t>Muro verde y listones</t>
        </is>
      </c>
      <c r="B15" s="4" t="n">
        <v>9.470000000000001</v>
      </c>
      <c r="C15" t="inlineStr">
        <is>
          <t>m2</t>
        </is>
      </c>
    </row>
    <row r="16">
      <c r="A16" t="inlineStr">
        <is>
          <t>ACM negro</t>
        </is>
      </c>
      <c r="B16" s="4" t="n">
        <v>12.29</v>
      </c>
      <c r="C16" t="inlineStr">
        <is>
          <t>m2</t>
        </is>
      </c>
    </row>
    <row r="17">
      <c r="A17" t="inlineStr">
        <is>
          <t>ACM turquesa</t>
        </is>
      </c>
      <c r="B17" s="4" t="n">
        <v>8.33</v>
      </c>
      <c r="C17" t="inlineStr">
        <is>
          <t>m2</t>
        </is>
      </c>
    </row>
    <row r="18">
      <c r="A18" t="inlineStr">
        <is>
          <t>Mampara de vidrio templado</t>
        </is>
      </c>
      <c r="B18" s="4" t="n">
        <v>18.49</v>
      </c>
      <c r="C18" t="inlineStr">
        <is>
          <t>m2</t>
        </is>
      </c>
    </row>
    <row r="19">
      <c r="A19" t="inlineStr">
        <is>
          <t>Repisas de pared</t>
        </is>
      </c>
      <c r="B19" s="4" t="n">
        <v>18.75</v>
      </c>
      <c r="C19" t="inlineStr">
        <is>
          <t>m</t>
        </is>
      </c>
    </row>
    <row r="20">
      <c r="A20" t="inlineStr">
        <is>
          <t>Columnas existentes</t>
        </is>
      </c>
      <c r="B20" s="4" t="n">
        <v>20</v>
      </c>
      <c r="C20" t="inlineStr">
        <is>
          <t>und</t>
        </is>
      </c>
    </row>
    <row r="21">
      <c r="A21" t="inlineStr">
        <is>
          <t>Luminarias suspendidas (circuitos c, d y f)</t>
        </is>
      </c>
      <c r="B21" s="4" t="n">
        <v>16</v>
      </c>
      <c r="C21" t="inlineStr">
        <is>
          <t>und</t>
        </is>
      </c>
    </row>
    <row r="22">
      <c r="A22" t="inlineStr">
        <is>
          <t>Salidas de alumbrado en techo</t>
        </is>
      </c>
      <c r="B22" s="4" t="n">
        <v>26</v>
      </c>
      <c r="C22" t="inlineStr">
        <is>
          <t>pto</t>
        </is>
      </c>
    </row>
    <row r="23">
      <c r="A23" t="inlineStr">
        <is>
          <t>Braquetes</t>
        </is>
      </c>
      <c r="B23" s="4" t="n">
        <v>5</v>
      </c>
      <c r="C23" t="inlineStr">
        <is>
          <t>pto</t>
        </is>
      </c>
    </row>
    <row r="24">
      <c r="A24" t="inlineStr">
        <is>
          <t>Tarrajeo · Medianera izquierda (hasta el muro C) (15.3 x 4.7 m)</t>
        </is>
      </c>
      <c r="B24" s="4" t="n">
        <v>71.91</v>
      </c>
      <c r="C24" t="inlineStr">
        <is>
          <t>m2</t>
        </is>
      </c>
    </row>
    <row r="25">
      <c r="A25" t="inlineStr">
        <is>
          <t>Tarrajeo · Medianera derecha (21.16 x 4.7 m)</t>
        </is>
      </c>
      <c r="B25" s="4" t="n">
        <v>99.45</v>
      </c>
      <c r="C25" t="inlineStr">
        <is>
          <t>m2</t>
        </is>
      </c>
    </row>
    <row r="26">
      <c r="A26" t="inlineStr">
        <is>
          <t>Tarrajeo · Muro del fondo (almacén y SS.HH.) (7.04 x 4.7 m)</t>
        </is>
      </c>
      <c r="B26" s="4" t="n">
        <v>33.09</v>
      </c>
      <c r="C26" t="inlineStr">
        <is>
          <t>m2</t>
        </is>
      </c>
    </row>
    <row r="27">
      <c r="A27" t="inlineStr">
        <is>
          <t>Tarrajeo · Muro C, cara hacia la tienda (3.86 x 4.7 m)</t>
        </is>
      </c>
      <c r="B27" s="4" t="n">
        <v>18.14</v>
      </c>
      <c r="C27" t="inlineStr">
        <is>
          <t>m2</t>
        </is>
      </c>
    </row>
    <row r="28">
      <c r="A28" t="inlineStr">
        <is>
          <t>Tarrajeo · Muro C, cara del almacén (2.76 x 4.7 m)</t>
        </is>
      </c>
      <c r="B28" s="4" t="n">
        <v>12.97</v>
      </c>
      <c r="C28" t="inlineStr">
        <is>
          <t>m2</t>
        </is>
      </c>
    </row>
    <row r="29">
      <c r="A29" t="inlineStr">
        <is>
          <t>Tarrajeo · Muro del eje 2, ambas caras (11.91 x 4.7 m)</t>
        </is>
      </c>
      <c r="B29" s="4" t="n">
        <v>55.98</v>
      </c>
      <c r="C29" t="inlineStr">
        <is>
          <t>m2</t>
        </is>
      </c>
    </row>
    <row r="30">
      <c r="A30" t="inlineStr">
        <is>
          <t>Tarrajeo · Muro del pasadizo, cara del almacén (4.83 x 4.7 m)</t>
        </is>
      </c>
      <c r="B30" s="4" t="n">
        <v>22.7</v>
      </c>
      <c r="C30" t="inlineStr">
        <is>
          <t>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8" customWidth="1" min="2" max="2"/>
    <col width="11" customWidth="1" min="3" max="3"/>
    <col width="11" customWidth="1" min="4" max="4"/>
    <col width="8" customWidth="1" min="5" max="5"/>
    <col width="14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</cols>
  <sheetData>
    <row r="1">
      <c r="A1" s="1" t="inlineStr">
        <is>
          <t>CRONOGRAMA DE OBRA — calendario de lunes a sábado con feriados nacionales</t>
        </is>
      </c>
    </row>
    <row r="2">
      <c r="A2" s="2" t="inlineStr">
        <is>
          <t>Mismo plan que Cronograma_SpareParts_Huancayo.xml (MS Project). Las barras se dibujan con formato condicional.</t>
        </is>
      </c>
    </row>
    <row r="3">
      <c r="G3" s="18" t="n">
        <v>45628</v>
      </c>
      <c r="H3" s="18" t="n">
        <v>45635</v>
      </c>
      <c r="I3" s="18" t="n">
        <v>45642</v>
      </c>
      <c r="J3" s="18" t="n">
        <v>45649</v>
      </c>
      <c r="K3" s="18" t="n">
        <v>45656</v>
      </c>
      <c r="L3" s="18" t="n">
        <v>45663</v>
      </c>
      <c r="M3" s="18" t="n">
        <v>45670</v>
      </c>
      <c r="N3" s="18" t="n">
        <v>45677</v>
      </c>
      <c r="O3" s="18" t="n">
        <v>45684</v>
      </c>
      <c r="P3" s="18" t="n">
        <v>45691</v>
      </c>
      <c r="Q3" s="18" t="n">
        <v>45698</v>
      </c>
      <c r="R3" s="18" t="n">
        <v>45705</v>
      </c>
      <c r="S3" s="18" t="n">
        <v>45712</v>
      </c>
    </row>
    <row r="4">
      <c r="A4" s="5" t="inlineStr">
        <is>
          <t>Id</t>
        </is>
      </c>
      <c r="B4" s="5" t="inlineStr">
        <is>
          <t>Tarea</t>
        </is>
      </c>
      <c r="C4" s="5" t="inlineStr">
        <is>
          <t>Inicio</t>
        </is>
      </c>
      <c r="D4" s="5" t="inlineStr">
        <is>
          <t>Fin</t>
        </is>
      </c>
      <c r="E4" s="5" t="inlineStr">
        <is>
          <t>Días lab.</t>
        </is>
      </c>
      <c r="F4" s="5" t="inlineStr">
        <is>
          <t>Costo directo S/</t>
        </is>
      </c>
      <c r="G4" s="19" t="inlineStr">
        <is>
          <t>S1</t>
        </is>
      </c>
      <c r="H4" s="19" t="inlineStr">
        <is>
          <t>S2</t>
        </is>
      </c>
      <c r="I4" s="19" t="inlineStr">
        <is>
          <t>S3</t>
        </is>
      </c>
      <c r="J4" s="19" t="inlineStr">
        <is>
          <t>S4</t>
        </is>
      </c>
      <c r="K4" s="19" t="inlineStr">
        <is>
          <t>S5</t>
        </is>
      </c>
      <c r="L4" s="19" t="inlineStr">
        <is>
          <t>S6</t>
        </is>
      </c>
      <c r="M4" s="19" t="inlineStr">
        <is>
          <t>S7</t>
        </is>
      </c>
      <c r="N4" s="19" t="inlineStr">
        <is>
          <t>S8</t>
        </is>
      </c>
      <c r="O4" s="19" t="inlineStr">
        <is>
          <t>S9</t>
        </is>
      </c>
      <c r="P4" s="19" t="inlineStr">
        <is>
          <t>S10</t>
        </is>
      </c>
      <c r="Q4" s="19" t="inlineStr">
        <is>
          <t>S11</t>
        </is>
      </c>
      <c r="R4" s="19" t="inlineStr">
        <is>
          <t>S12</t>
        </is>
      </c>
      <c r="S4" s="19" t="inlineStr">
        <is>
          <t>S13</t>
        </is>
      </c>
    </row>
    <row r="5">
      <c r="A5" t="n">
        <v>1</v>
      </c>
      <c r="B5" s="20" t="inlineStr">
        <is>
          <t>Inicio de obra (entrega del local)</t>
        </is>
      </c>
      <c r="C5" s="21" t="n">
        <v>45628</v>
      </c>
      <c r="D5" s="21" t="n">
        <v>45628</v>
      </c>
      <c r="E5" t="n">
        <v>0</v>
      </c>
      <c r="F5" s="4" t="n">
        <v>0</v>
      </c>
    </row>
    <row r="6">
      <c r="A6" t="n">
        <v>2</v>
      </c>
      <c r="B6" s="7" t="inlineStr">
        <is>
          <t>OBRAS PRELIMINARES</t>
        </is>
      </c>
      <c r="C6" s="21" t="n">
        <v>45628</v>
      </c>
      <c r="D6" s="21" t="n">
        <v>45637</v>
      </c>
      <c r="E6" t="n">
        <v>8</v>
      </c>
      <c r="F6" s="4" t="n"/>
    </row>
    <row r="7">
      <c r="A7" t="n">
        <v>3</v>
      </c>
      <c r="B7" s="20" t="inlineStr">
        <is>
          <t xml:space="preserve">    Movilización, protección de fachada e instalaciones provisionales</t>
        </is>
      </c>
      <c r="C7" s="21" t="n">
        <v>45628</v>
      </c>
      <c r="D7" s="21" t="n">
        <v>45630</v>
      </c>
      <c r="E7" t="n">
        <v>3</v>
      </c>
      <c r="F7" s="4" t="n">
        <v>1858.15</v>
      </c>
    </row>
    <row r="8">
      <c r="A8" t="n">
        <v>4</v>
      </c>
      <c r="B8" s="20" t="inlineStr">
        <is>
          <t xml:space="preserve">    Levantamiento, trazo y replanteo</t>
        </is>
      </c>
      <c r="C8" s="21" t="n">
        <v>45631</v>
      </c>
      <c r="D8" s="21" t="n">
        <v>45632</v>
      </c>
      <c r="E8" t="n">
        <v>2</v>
      </c>
      <c r="F8" s="4" t="n">
        <v>442.58</v>
      </c>
    </row>
    <row r="9">
      <c r="A9" t="n">
        <v>5</v>
      </c>
      <c r="B9" s="20" t="inlineStr">
        <is>
          <t xml:space="preserve">    Desmontaje de instalaciones y elementos existentes</t>
        </is>
      </c>
      <c r="C9" s="21" t="n">
        <v>45633</v>
      </c>
      <c r="D9" s="21" t="n">
        <v>45637</v>
      </c>
      <c r="E9" t="n">
        <v>3</v>
      </c>
      <c r="F9" s="4" t="n">
        <v>1200</v>
      </c>
    </row>
    <row r="10">
      <c r="A10" t="n">
        <v>6</v>
      </c>
      <c r="B10" s="7" t="inlineStr">
        <is>
          <t>REMODELACIÓN DE MUROS</t>
        </is>
      </c>
      <c r="C10" s="21" t="n">
        <v>45638</v>
      </c>
      <c r="D10" s="21" t="n">
        <v>45668</v>
      </c>
      <c r="E10" t="n">
        <v>25</v>
      </c>
      <c r="F10" s="4" t="n"/>
    </row>
    <row r="11">
      <c r="A11" t="n">
        <v>7</v>
      </c>
      <c r="B11" s="20" t="inlineStr">
        <is>
          <t xml:space="preserve">    Demolición de tabiques y picado para canalizaciones</t>
        </is>
      </c>
      <c r="C11" s="21" t="n">
        <v>45638</v>
      </c>
      <c r="D11" s="21" t="n">
        <v>45643</v>
      </c>
      <c r="E11" t="n">
        <v>5</v>
      </c>
      <c r="F11" s="4" t="n">
        <v>2492</v>
      </c>
    </row>
    <row r="12">
      <c r="A12" t="n">
        <v>8</v>
      </c>
      <c r="B12" s="20" t="inlineStr">
        <is>
          <t xml:space="preserve">    Muros de ladrillo de SS.HH.</t>
        </is>
      </c>
      <c r="C12" s="21" t="n">
        <v>45644</v>
      </c>
      <c r="D12" s="21" t="n">
        <v>45647</v>
      </c>
      <c r="E12" t="n">
        <v>4</v>
      </c>
      <c r="F12" s="4" t="n">
        <v>396.53</v>
      </c>
    </row>
    <row r="13">
      <c r="A13" t="n">
        <v>9</v>
      </c>
      <c r="B13" s="20" t="inlineStr">
        <is>
          <t xml:space="preserve">    Tarrajeo de muros y columnas</t>
        </is>
      </c>
      <c r="C13" s="21" t="n">
        <v>45646</v>
      </c>
      <c r="D13" s="21" t="n">
        <v>45668</v>
      </c>
      <c r="E13" t="n">
        <v>18</v>
      </c>
      <c r="F13" s="4" t="n">
        <v>12071.21</v>
      </c>
    </row>
    <row r="14">
      <c r="A14" t="n">
        <v>10</v>
      </c>
      <c r="B14" s="20" t="inlineStr">
        <is>
          <t xml:space="preserve">    Nivelación del piso existente</t>
        </is>
      </c>
      <c r="C14" s="21" t="n">
        <v>45660</v>
      </c>
      <c r="D14" s="21" t="n">
        <v>45664</v>
      </c>
      <c r="E14" t="n">
        <v>4</v>
      </c>
      <c r="F14" s="4" t="n">
        <v>1956.92</v>
      </c>
    </row>
    <row r="15">
      <c r="A15" t="n">
        <v>11</v>
      </c>
      <c r="B15" s="7" t="inlineStr">
        <is>
          <t>MEZANINE Y ESCALERA METÁLICA</t>
        </is>
      </c>
      <c r="C15" s="21" t="n">
        <v>45649</v>
      </c>
      <c r="D15" s="21" t="n">
        <v>45665</v>
      </c>
      <c r="E15" t="n">
        <v>13</v>
      </c>
      <c r="F15" s="4" t="n"/>
    </row>
    <row r="16">
      <c r="A16" t="n">
        <v>12</v>
      </c>
      <c r="B16" s="20" t="inlineStr">
        <is>
          <t xml:space="preserve">    Columnas metálicas del mezanine (anclaje)</t>
        </is>
      </c>
      <c r="C16" s="21" t="n">
        <v>45649</v>
      </c>
      <c r="D16" s="21" t="n">
        <v>45650</v>
      </c>
      <c r="E16" t="n">
        <v>2</v>
      </c>
      <c r="F16" s="4" t="n">
        <v>2100</v>
      </c>
    </row>
    <row r="17">
      <c r="A17" t="n">
        <v>13</v>
      </c>
      <c r="B17" s="20" t="inlineStr">
        <is>
          <t xml:space="preserve">    Vigas y viguetas metálicas</t>
        </is>
      </c>
      <c r="C17" s="21" t="n">
        <v>45652</v>
      </c>
      <c r="D17" s="21" t="n">
        <v>45656</v>
      </c>
      <c r="E17" t="n">
        <v>4</v>
      </c>
      <c r="F17" s="4" t="n">
        <v>2750</v>
      </c>
    </row>
    <row r="18">
      <c r="A18" t="n">
        <v>14</v>
      </c>
      <c r="B18" s="20" t="inlineStr">
        <is>
          <t xml:space="preserve">    Losa colaborante del mezanine</t>
        </is>
      </c>
      <c r="C18" s="21" t="n">
        <v>45657</v>
      </c>
      <c r="D18" s="21" t="n">
        <v>45660</v>
      </c>
      <c r="E18" t="n">
        <v>3</v>
      </c>
      <c r="F18" s="4" t="n">
        <v>1088.5</v>
      </c>
    </row>
    <row r="19">
      <c r="A19" t="n">
        <v>15</v>
      </c>
      <c r="B19" s="20" t="inlineStr">
        <is>
          <t xml:space="preserve">    Escalera metálica de 12 pasos</t>
        </is>
      </c>
      <c r="C19" s="21" t="n">
        <v>45657</v>
      </c>
      <c r="D19" s="21" t="n">
        <v>45661</v>
      </c>
      <c r="E19" t="n">
        <v>4</v>
      </c>
      <c r="F19" s="4" t="n">
        <v>3000</v>
      </c>
    </row>
    <row r="20">
      <c r="A20" t="n">
        <v>16</v>
      </c>
      <c r="B20" s="20" t="inlineStr">
        <is>
          <t xml:space="preserve">    Baranda de vidrio y franja turquesa</t>
        </is>
      </c>
      <c r="C20" s="21" t="n">
        <v>45663</v>
      </c>
      <c r="D20" s="21" t="n">
        <v>45665</v>
      </c>
      <c r="E20" t="n">
        <v>3</v>
      </c>
      <c r="F20" s="4" t="n">
        <v>1196</v>
      </c>
    </row>
    <row r="21">
      <c r="A21" t="n">
        <v>17</v>
      </c>
      <c r="B21" s="7" t="inlineStr">
        <is>
          <t>INSTALACIONES</t>
        </is>
      </c>
      <c r="C21" s="21" t="n">
        <v>45640</v>
      </c>
      <c r="D21" s="21" t="n">
        <v>45675</v>
      </c>
      <c r="E21" t="n">
        <v>29</v>
      </c>
      <c r="F21" s="4" t="n"/>
    </row>
    <row r="22">
      <c r="A22" t="n">
        <v>18</v>
      </c>
      <c r="B22" s="20" t="inlineStr">
        <is>
          <t xml:space="preserve">    Instalaciones sanitarias de SS.HH.</t>
        </is>
      </c>
      <c r="C22" s="21" t="n">
        <v>45645</v>
      </c>
      <c r="D22" s="21" t="n">
        <v>45650</v>
      </c>
      <c r="E22" t="n">
        <v>5</v>
      </c>
      <c r="F22" s="4" t="n">
        <v>1666</v>
      </c>
    </row>
    <row r="23">
      <c r="A23" t="n">
        <v>19</v>
      </c>
      <c r="B23" s="20" t="inlineStr">
        <is>
          <t xml:space="preserve">    IIEE: tuberías, cajas y canalizaciones</t>
        </is>
      </c>
      <c r="C23" s="21" t="n">
        <v>45640</v>
      </c>
      <c r="D23" s="21" t="n">
        <v>45649</v>
      </c>
      <c r="E23" t="n">
        <v>8</v>
      </c>
      <c r="F23" s="4" t="n">
        <v>2723.4</v>
      </c>
    </row>
    <row r="24">
      <c r="A24" t="n">
        <v>20</v>
      </c>
      <c r="B24" s="20" t="inlineStr">
        <is>
          <t xml:space="preserve">    IIEE: cableado, tablero y pozo a tierra</t>
        </is>
      </c>
      <c r="C24" s="21" t="n">
        <v>45670</v>
      </c>
      <c r="D24" s="21" t="n">
        <v>45675</v>
      </c>
      <c r="E24" t="n">
        <v>6</v>
      </c>
      <c r="F24" s="4" t="n">
        <v>4953.6</v>
      </c>
    </row>
    <row r="25">
      <c r="A25" t="n">
        <v>21</v>
      </c>
      <c r="B25" s="7" t="inlineStr">
        <is>
          <t>ACABADOS</t>
        </is>
      </c>
      <c r="C25" s="21" t="n">
        <v>45670</v>
      </c>
      <c r="D25" s="21" t="n">
        <v>45698</v>
      </c>
      <c r="E25" t="n">
        <v>25</v>
      </c>
      <c r="F25" s="4" t="n"/>
    </row>
    <row r="26">
      <c r="A26" t="n">
        <v>22</v>
      </c>
      <c r="B26" s="20" t="inlineStr">
        <is>
          <t xml:space="preserve">    Pintura negra en techo y muros altos</t>
        </is>
      </c>
      <c r="C26" s="21" t="n">
        <v>45670</v>
      </c>
      <c r="D26" s="21" t="n">
        <v>45678</v>
      </c>
      <c r="E26" t="n">
        <v>8</v>
      </c>
      <c r="F26" s="4" t="n">
        <v>3127.75</v>
      </c>
    </row>
    <row r="27">
      <c r="A27" t="n">
        <v>23</v>
      </c>
      <c r="B27" s="20" t="inlineStr">
        <is>
          <t xml:space="preserve">    Porcelanato en pisos y paredes de SS.HH.</t>
        </is>
      </c>
      <c r="C27" s="21" t="n">
        <v>45670</v>
      </c>
      <c r="D27" s="21" t="n">
        <v>45674</v>
      </c>
      <c r="E27" t="n">
        <v>5</v>
      </c>
      <c r="F27" s="4" t="n">
        <v>1457.54</v>
      </c>
    </row>
    <row r="28">
      <c r="A28" t="n">
        <v>24</v>
      </c>
      <c r="B28" s="20" t="inlineStr">
        <is>
          <t xml:space="preserve">    Piso SPC tipo madera</t>
        </is>
      </c>
      <c r="C28" s="21" t="n">
        <v>45679</v>
      </c>
      <c r="D28" s="21" t="n">
        <v>45685</v>
      </c>
      <c r="E28" t="n">
        <v>6</v>
      </c>
      <c r="F28" s="4" t="n">
        <v>9516.280000000001</v>
      </c>
    </row>
    <row r="29">
      <c r="A29" t="n">
        <v>25</v>
      </c>
      <c r="B29" s="20" t="inlineStr">
        <is>
          <t xml:space="preserve">    Pintura látex en muros y negro en columnas</t>
        </is>
      </c>
      <c r="C29" s="21" t="n">
        <v>45679</v>
      </c>
      <c r="D29" s="21" t="n">
        <v>45687</v>
      </c>
      <c r="E29" t="n">
        <v>8</v>
      </c>
      <c r="F29" s="4" t="n">
        <v>2629.93</v>
      </c>
    </row>
    <row r="30">
      <c r="A30" t="n">
        <v>26</v>
      </c>
      <c r="B30" s="20" t="inlineStr">
        <is>
          <t xml:space="preserve">    Panel perforado, muro verde y listones</t>
        </is>
      </c>
      <c r="C30" s="21" t="n">
        <v>45688</v>
      </c>
      <c r="D30" s="21" t="n">
        <v>45698</v>
      </c>
      <c r="E30" t="n">
        <v>9</v>
      </c>
      <c r="F30" s="4" t="n">
        <v>7370.35</v>
      </c>
    </row>
    <row r="31">
      <c r="A31" t="n">
        <v>27</v>
      </c>
      <c r="B31" s="20" t="inlineStr">
        <is>
          <t xml:space="preserve">    Puertas y aparatos sanitarios</t>
        </is>
      </c>
      <c r="C31" s="21" t="n">
        <v>45675</v>
      </c>
      <c r="D31" s="21" t="n">
        <v>45678</v>
      </c>
      <c r="E31" t="n">
        <v>3</v>
      </c>
      <c r="F31" s="4" t="n">
        <v>2940</v>
      </c>
    </row>
    <row r="32">
      <c r="A32" t="n">
        <v>28</v>
      </c>
      <c r="B32" s="7" t="inlineStr">
        <is>
          <t>FACHADA Y LETRERO</t>
        </is>
      </c>
      <c r="C32" s="21" t="n">
        <v>45652</v>
      </c>
      <c r="D32" s="21" t="n">
        <v>45680</v>
      </c>
      <c r="E32" t="n">
        <v>24</v>
      </c>
      <c r="F32" s="4" t="n"/>
    </row>
    <row r="33">
      <c r="A33" t="n">
        <v>29</v>
      </c>
      <c r="B33" s="20" t="inlineStr">
        <is>
          <t xml:space="preserve">    Estructura metálica de fachada</t>
        </is>
      </c>
      <c r="C33" s="21" t="n">
        <v>45652</v>
      </c>
      <c r="D33" s="21" t="n">
        <v>45657</v>
      </c>
      <c r="E33" t="n">
        <v>5</v>
      </c>
      <c r="F33" s="4" t="n">
        <v>4178.85</v>
      </c>
    </row>
    <row r="34">
      <c r="A34" t="n">
        <v>30</v>
      </c>
      <c r="B34" s="20" t="inlineStr">
        <is>
          <t xml:space="preserve">    Revestimiento ACM negro y turquesa</t>
        </is>
      </c>
      <c r="C34" s="21" t="n">
        <v>45659</v>
      </c>
      <c r="D34" s="21" t="n">
        <v>45665</v>
      </c>
      <c r="E34" t="n">
        <v>6</v>
      </c>
      <c r="F34" s="4" t="n">
        <v>3568.9</v>
      </c>
    </row>
    <row r="35">
      <c r="A35" t="n">
        <v>31</v>
      </c>
      <c r="B35" s="20" t="inlineStr">
        <is>
          <t xml:space="preserve">    Mampara y puerta de vidrio templado</t>
        </is>
      </c>
      <c r="C35" s="21" t="n">
        <v>45666</v>
      </c>
      <c r="D35" s="21" t="n">
        <v>45671</v>
      </c>
      <c r="E35" t="n">
        <v>5</v>
      </c>
      <c r="F35" s="4" t="n">
        <v>7299.85</v>
      </c>
    </row>
    <row r="36">
      <c r="A36" t="n">
        <v>32</v>
      </c>
      <c r="B36" s="20" t="inlineStr">
        <is>
          <t xml:space="preserve">    Letrero luminoso (logo y letras)</t>
        </is>
      </c>
      <c r="C36" s="21" t="n">
        <v>45677</v>
      </c>
      <c r="D36" s="21" t="n">
        <v>45680</v>
      </c>
      <c r="E36" t="n">
        <v>4</v>
      </c>
      <c r="F36" s="4" t="n">
        <v>6650</v>
      </c>
    </row>
    <row r="37">
      <c r="A37" t="n">
        <v>33</v>
      </c>
      <c r="B37" s="7" t="inlineStr">
        <is>
          <t>MOBILIARIO E ILUMINACIÓN</t>
        </is>
      </c>
      <c r="C37" s="21" t="n">
        <v>45633</v>
      </c>
      <c r="D37" s="21" t="n">
        <v>45709</v>
      </c>
      <c r="E37" t="n">
        <v>63</v>
      </c>
      <c r="F37" s="4" t="n"/>
    </row>
    <row r="38">
      <c r="A38" t="n">
        <v>34</v>
      </c>
      <c r="B38" s="20" t="inlineStr">
        <is>
          <t xml:space="preserve">    Fabricación del mobiliario en taller y traslado</t>
        </is>
      </c>
      <c r="C38" s="21" t="n">
        <v>45633</v>
      </c>
      <c r="D38" s="21" t="n">
        <v>45688</v>
      </c>
      <c r="E38" t="n">
        <v>45</v>
      </c>
      <c r="F38" s="4" t="n">
        <v>15131.25</v>
      </c>
    </row>
    <row r="39">
      <c r="A39" t="n">
        <v>35</v>
      </c>
      <c r="B39" s="20" t="inlineStr">
        <is>
          <t xml:space="preserve">    Instalación del mobiliario de exhibición y caja</t>
        </is>
      </c>
      <c r="C39" s="21" t="n">
        <v>45699</v>
      </c>
      <c r="D39" s="21" t="n">
        <v>45709</v>
      </c>
      <c r="E39" t="n">
        <v>10</v>
      </c>
      <c r="F39" s="4" t="n">
        <v>7506.25</v>
      </c>
    </row>
    <row r="40">
      <c r="A40" t="n">
        <v>36</v>
      </c>
      <c r="B40" s="20" t="inlineStr">
        <is>
          <t xml:space="preserve">    Luminarias suspendidas y artefactos</t>
        </is>
      </c>
      <c r="C40" s="21" t="n">
        <v>45688</v>
      </c>
      <c r="D40" s="21" t="n">
        <v>45693</v>
      </c>
      <c r="E40" t="n">
        <v>5</v>
      </c>
      <c r="F40" s="4" t="n">
        <v>5825</v>
      </c>
    </row>
    <row r="41">
      <c r="A41" t="n">
        <v>37</v>
      </c>
      <c r="B41" s="20" t="inlineStr">
        <is>
          <t xml:space="preserve">    Paneles gráficos suspendidos y señalética</t>
        </is>
      </c>
      <c r="C41" s="21" t="n">
        <v>45694</v>
      </c>
      <c r="D41" s="21" t="n">
        <v>45696</v>
      </c>
      <c r="E41" t="n">
        <v>3</v>
      </c>
      <c r="F41" s="4" t="n">
        <v>2800</v>
      </c>
    </row>
    <row r="42">
      <c r="A42" t="n">
        <v>38</v>
      </c>
      <c r="B42" s="7" t="inlineStr">
        <is>
          <t>CIERRE</t>
        </is>
      </c>
      <c r="C42" s="21" t="n">
        <v>45710</v>
      </c>
      <c r="D42" s="21" t="n">
        <v>45716</v>
      </c>
      <c r="E42" t="n">
        <v>6</v>
      </c>
      <c r="F42" s="4" t="n"/>
    </row>
    <row r="43">
      <c r="A43" t="n">
        <v>39</v>
      </c>
      <c r="B43" s="20" t="inlineStr">
        <is>
          <t xml:space="preserve">    Pruebas, limpieza final y levantamiento de observaciones</t>
        </is>
      </c>
      <c r="C43" s="21" t="n">
        <v>45710</v>
      </c>
      <c r="D43" s="21" t="n">
        <v>45716</v>
      </c>
      <c r="E43" t="n">
        <v>6</v>
      </c>
      <c r="F43" s="4" t="n">
        <v>1878.12</v>
      </c>
    </row>
    <row r="44">
      <c r="A44" t="n">
        <v>40</v>
      </c>
      <c r="B44" s="20" t="inlineStr">
        <is>
          <t xml:space="preserve">    Entrega de la tienda</t>
        </is>
      </c>
      <c r="C44" s="21" t="n">
        <v>45717</v>
      </c>
      <c r="D44" s="21" t="n">
        <v>45717</v>
      </c>
      <c r="E44" t="n">
        <v>0</v>
      </c>
      <c r="F44" s="4" t="n">
        <v>0</v>
      </c>
    </row>
  </sheetData>
  <conditionalFormatting sqref="G5:S44">
    <cfRule type="expression" priority="1" dxfId="0">
      <formula>AND($C5&lt;=G$3+6,$D5&gt;=G$3,LEFT($B5,1)&lt;&gt;" ")</formula>
    </cfRule>
    <cfRule type="expression" priority="2" dxfId="1">
      <formula>AND($C5&lt;=G$3+6,$D5&gt;=G$3)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CURVA S — AVANCE PROGRAMADO DEL COSTO DIRECTO</t>
        </is>
      </c>
    </row>
    <row r="2">
      <c r="A2" s="2" t="inlineStr">
        <is>
          <t>Costo semanal = costo de cada tarea repartido en sus días laborables</t>
        </is>
      </c>
    </row>
    <row r="4">
      <c r="A4" s="5" t="inlineStr">
        <is>
          <t>Semana</t>
        </is>
      </c>
      <c r="B4" s="5" t="inlineStr">
        <is>
          <t>Inicio</t>
        </is>
      </c>
      <c r="C4" s="5" t="inlineStr">
        <is>
          <t>Costo semanal S/</t>
        </is>
      </c>
      <c r="D4" s="5" t="inlineStr">
        <is>
          <t>Acumulado S/</t>
        </is>
      </c>
      <c r="E4" s="5" t="inlineStr">
        <is>
          <t>% acumulado</t>
        </is>
      </c>
    </row>
    <row r="5">
      <c r="A5" t="n">
        <v>1</v>
      </c>
      <c r="B5" s="21" t="n">
        <v>45628</v>
      </c>
      <c r="C5" s="4" t="n">
        <v>3182.93</v>
      </c>
      <c r="D5" s="4">
        <f>C5</f>
        <v/>
      </c>
      <c r="E5" s="6">
        <f>D5/Presupuesto!F80</f>
        <v/>
      </c>
    </row>
    <row r="6">
      <c r="A6" t="n">
        <v>2</v>
      </c>
      <c r="B6" s="21" t="n">
        <v>45635</v>
      </c>
      <c r="C6" s="4" t="n">
        <v>4438.5</v>
      </c>
      <c r="D6" s="4">
        <f>D5+C6</f>
        <v/>
      </c>
      <c r="E6" s="6">
        <f>D6/Presupuesto!F80</f>
        <v/>
      </c>
    </row>
    <row r="7">
      <c r="A7" t="n">
        <v>3</v>
      </c>
      <c r="B7" s="21" t="n">
        <v>45642</v>
      </c>
      <c r="C7" s="4" t="n">
        <v>7940.17</v>
      </c>
      <c r="D7" s="4">
        <f>D6+C7</f>
        <v/>
      </c>
      <c r="E7" s="6">
        <f>D7/Presupuesto!F80</f>
        <v/>
      </c>
    </row>
    <row r="8">
      <c r="A8" t="n">
        <v>4</v>
      </c>
      <c r="B8" s="21" t="n">
        <v>45649</v>
      </c>
      <c r="C8" s="4" t="n">
        <v>12832.62</v>
      </c>
      <c r="D8" s="4">
        <f>D7+C8</f>
        <v/>
      </c>
      <c r="E8" s="6">
        <f>D8/Presupuesto!F80</f>
        <v/>
      </c>
    </row>
    <row r="9">
      <c r="A9" t="n">
        <v>5</v>
      </c>
      <c r="B9" s="21" t="n">
        <v>45656</v>
      </c>
      <c r="C9" s="4" t="n">
        <v>14366.44</v>
      </c>
      <c r="D9" s="4">
        <f>D8+C9</f>
        <v/>
      </c>
      <c r="E9" s="6">
        <f>D9/Presupuesto!F80</f>
        <v/>
      </c>
    </row>
    <row r="10">
      <c r="A10" t="n">
        <v>6</v>
      </c>
      <c r="B10" s="21" t="n">
        <v>45663</v>
      </c>
      <c r="C10" s="4" t="n">
        <v>14526</v>
      </c>
      <c r="D10" s="4">
        <f>D9+C10</f>
        <v/>
      </c>
      <c r="E10" s="6">
        <f>D10/Presupuesto!F80</f>
        <v/>
      </c>
    </row>
    <row r="11">
      <c r="A11" t="n">
        <v>7</v>
      </c>
      <c r="B11" s="21" t="n">
        <v>45670</v>
      </c>
      <c r="C11" s="4" t="n">
        <v>14820.34</v>
      </c>
      <c r="D11" s="4">
        <f>D10+C11</f>
        <v/>
      </c>
      <c r="E11" s="6">
        <f>D11/Presupuesto!F80</f>
        <v/>
      </c>
    </row>
    <row r="12">
      <c r="A12" t="n">
        <v>8</v>
      </c>
      <c r="B12" s="21" t="n">
        <v>45677</v>
      </c>
      <c r="C12" s="4" t="n">
        <v>19214.54</v>
      </c>
      <c r="D12" s="4">
        <f>D11+C12</f>
        <v/>
      </c>
      <c r="E12" s="6">
        <f>D12/Presupuesto!F80</f>
        <v/>
      </c>
    </row>
    <row r="13">
      <c r="A13" t="n">
        <v>9</v>
      </c>
      <c r="B13" s="21" t="n">
        <v>45684</v>
      </c>
      <c r="C13" s="4" t="n">
        <v>10282.11</v>
      </c>
      <c r="D13" s="4">
        <f>D12+C13</f>
        <v/>
      </c>
      <c r="E13" s="6">
        <f>D13/Presupuesto!F80</f>
        <v/>
      </c>
    </row>
    <row r="14">
      <c r="A14" t="n">
        <v>10</v>
      </c>
      <c r="B14" s="21" t="n">
        <v>45691</v>
      </c>
      <c r="C14" s="4" t="n">
        <v>11354.51</v>
      </c>
      <c r="D14" s="4">
        <f>D13+C14</f>
        <v/>
      </c>
      <c r="E14" s="6">
        <f>D14/Presupuesto!F80</f>
        <v/>
      </c>
    </row>
    <row r="15">
      <c r="A15" t="n">
        <v>11</v>
      </c>
      <c r="B15" s="21" t="n">
        <v>45698</v>
      </c>
      <c r="C15" s="4" t="n">
        <v>4718</v>
      </c>
      <c r="D15" s="4">
        <f>D14+C15</f>
        <v/>
      </c>
      <c r="E15" s="6">
        <f>D15/Presupuesto!F80</f>
        <v/>
      </c>
    </row>
    <row r="16">
      <c r="A16" t="n">
        <v>12</v>
      </c>
      <c r="B16" s="21" t="n">
        <v>45705</v>
      </c>
      <c r="C16" s="4" t="n">
        <v>4212.09</v>
      </c>
      <c r="D16" s="4">
        <f>D15+C16</f>
        <v/>
      </c>
      <c r="E16" s="6">
        <f>D16/Presupuesto!F80</f>
        <v/>
      </c>
    </row>
    <row r="17">
      <c r="A17" t="n">
        <v>13</v>
      </c>
      <c r="B17" s="21" t="n">
        <v>45712</v>
      </c>
      <c r="C17" s="4" t="n">
        <v>1686.72</v>
      </c>
      <c r="D17" s="4">
        <f>D16+C17</f>
        <v/>
      </c>
      <c r="E17" s="6">
        <f>D17/Presupuesto!F80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2026-09-29T00:47:18Z</dcterms:created>
  <dcterms:modified xsi:type="dcterms:W3CDTF">2026-09-29T00:47:18Z</dcterms:modified>
</cp:coreProperties>
</file>